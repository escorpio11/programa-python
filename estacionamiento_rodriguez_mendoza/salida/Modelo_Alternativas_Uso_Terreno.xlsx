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Comparación" sheetId="2" state="visible" r:id="rId2"/>
    <sheet xmlns:r="http://schemas.openxmlformats.org/officeDocument/2006/relationships" name="L Esquina cedida" sheetId="3" state="visible" r:id="rId3"/>
    <sheet xmlns:r="http://schemas.openxmlformats.org/officeDocument/2006/relationships" name="J Arrendar el lote" sheetId="4" state="visible" r:id="rId4"/>
    <sheet xmlns:r="http://schemas.openxmlformats.org/officeDocument/2006/relationships" name="B Estac. descubierto" sheetId="5" state="visible" r:id="rId5"/>
    <sheet xmlns:r="http://schemas.openxmlformats.org/officeDocument/2006/relationships" name="C1 Esquina + cochera" sheetId="6" state="visible" r:id="rId6"/>
    <sheet xmlns:r="http://schemas.openxmlformats.org/officeDocument/2006/relationships" name="K Terminal de vans" sheetId="7" state="visible" r:id="rId7"/>
    <sheet xmlns:r="http://schemas.openxmlformats.org/officeDocument/2006/relationships" name="C Locales + cochera" sheetId="8" state="visible" r:id="rId8"/>
    <sheet xmlns:r="http://schemas.openxmlformats.org/officeDocument/2006/relationships" name="A Estac. techado" sheetId="9" state="visible" r:id="rId9"/>
    <sheet xmlns:r="http://schemas.openxmlformats.org/officeDocument/2006/relationships" name="F Cancha techada" sheetId="10" state="visible" r:id="rId10"/>
    <sheet xmlns:r="http://schemas.openxmlformats.org/officeDocument/2006/relationships" name="G Local de eventos" sheetId="11" state="visible" r:id="rId11"/>
    <sheet xmlns:r="http://schemas.openxmlformats.org/officeDocument/2006/relationships" name="E C + consultorios" sheetId="12" state="visible" r:id="rId12"/>
    <sheet xmlns:r="http://schemas.openxmlformats.org/officeDocument/2006/relationships" name="D C + minideptos" sheetId="13" state="visible" r:id="rId13"/>
    <sheet xmlns:r="http://schemas.openxmlformats.org/officeDocument/2006/relationships" name="H Hostal" sheetId="14" state="visible" r:id="rId14"/>
    <sheet xmlns:r="http://schemas.openxmlformats.org/officeDocument/2006/relationships" name="Fuen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&quot;S/ &quot;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55555"/>
    </font>
    <font>
      <color rgb="00666666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2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0" fontId="2" fillId="0" borderId="0" pivotButton="0" quotePrefix="0" xfId="0"/>
    <xf numFmtId="166" fontId="2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0" fontId="2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6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0" fontId="0" fillId="0" borderId="0" applyAlignment="1" pivotButton="0" quotePrefix="0" xfId="0">
      <alignment wrapText="1"/>
    </xf>
    <xf numFmtId="0" fontId="2" fillId="4" borderId="0" pivotButton="0" quotePrefix="0" xfId="0"/>
    <xf numFmtId="1" fontId="0" fillId="2" borderId="1" pivotButton="0" quotePrefix="0" xfId="0"/>
    <xf numFmtId="0" fontId="2" fillId="5" borderId="1" pivotButton="0" quotePrefix="0" xfId="0"/>
    <xf numFmtId="0" fontId="4" fillId="0" borderId="0" pivotButton="0" quotePrefix="0" xfId="0"/>
    <xf numFmtId="166" fontId="0" fillId="4" borderId="1" pivotButton="0" quotePrefix="0" xfId="0"/>
    <xf numFmtId="164" fontId="2" fillId="3" borderId="1" pivotButton="0" quotePrefix="0" xfId="0"/>
    <xf numFmtId="1" fontId="2" fillId="3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</cols>
  <sheetData>
    <row r="1">
      <c r="A1" s="1" t="inlineStr">
        <is>
          <t>SUPUESTOS GENERALES (celdas amarillas = editables)</t>
        </is>
      </c>
    </row>
    <row r="3">
      <c r="A3" t="inlineStr">
        <is>
          <t>Escenario (1 = pesimista, 2 = base, 3 = optimista)</t>
        </is>
      </c>
      <c r="B3" s="2" t="n">
        <v>2</v>
      </c>
    </row>
    <row r="4">
      <c r="A4" t="inlineStr">
        <is>
          <t>Tasa de descuento anual</t>
        </is>
      </c>
      <c r="B4" s="3" t="n">
        <v>0.1</v>
      </c>
    </row>
    <row r="5">
      <c r="A5" t="inlineStr">
        <is>
          <t>Crecimiento anual de rentas, tarifas y gastos</t>
        </is>
      </c>
      <c r="B5" s="3" t="n">
        <v>0.03</v>
      </c>
    </row>
    <row r="6">
      <c r="A6" t="inlineStr">
        <is>
          <t>Supervisión e imprevistos de obra</t>
        </is>
      </c>
      <c r="B6" s="3" t="n">
        <v>0.1</v>
      </c>
    </row>
    <row r="7">
      <c r="A7" t="inlineStr">
        <is>
          <t>Factor de costo de obra - pesimista</t>
        </is>
      </c>
      <c r="B7" s="4" t="n">
        <v>1.15</v>
      </c>
    </row>
    <row r="8">
      <c r="A8" t="inlineStr">
        <is>
          <t>Factor de costo de obra - base</t>
        </is>
      </c>
      <c r="B8" s="4" t="n">
        <v>1</v>
      </c>
    </row>
    <row r="9">
      <c r="A9" t="inlineStr">
        <is>
          <t>Factor de costo de obra - optimista</t>
        </is>
      </c>
      <c r="B9" s="4" t="n">
        <v>0.92</v>
      </c>
    </row>
    <row r="10">
      <c r="A10" t="inlineStr">
        <is>
          <t>Área del terreno (m²)</t>
        </is>
      </c>
      <c r="B10" s="5" t="n">
        <v>820.2</v>
      </c>
    </row>
    <row r="11">
      <c r="A11" t="inlineStr">
        <is>
          <t>Valor del terreno (S/ por m²) - pesimista</t>
        </is>
      </c>
      <c r="B11" s="6" t="n">
        <v>400</v>
      </c>
    </row>
    <row r="12">
      <c r="A12" t="inlineStr">
        <is>
          <t>Valor del terreno (S/ por m²) - base (requiere tasación)</t>
        </is>
      </c>
      <c r="B12" s="6" t="n">
        <v>600</v>
      </c>
    </row>
    <row r="13">
      <c r="A13" t="inlineStr">
        <is>
          <t>Valor del terreno (S/ por m²) - optimista</t>
        </is>
      </c>
      <c r="B13" s="6" t="n">
        <v>850</v>
      </c>
    </row>
    <row r="14">
      <c r="A14" t="inlineStr">
        <is>
          <t>Valorización anual del terreno - pesimista</t>
        </is>
      </c>
      <c r="B14" s="3" t="n">
        <v>0.03</v>
      </c>
    </row>
    <row r="15">
      <c r="A15" t="inlineStr">
        <is>
          <t>Valorización anual del terreno - base</t>
        </is>
      </c>
      <c r="B15" s="3" t="n">
        <v>0.045</v>
      </c>
    </row>
    <row r="16">
      <c r="A16" t="inlineStr">
        <is>
          <t>Valorización anual del terreno - optimista</t>
        </is>
      </c>
      <c r="B16" s="3" t="n">
        <v>0.06</v>
      </c>
    </row>
    <row r="17">
      <c r="A17" t="inlineStr">
        <is>
          <t>Rendimiento de un depósito a plazo (alternativa a vender)</t>
        </is>
      </c>
      <c r="B17" s="3" t="n">
        <v>0.06</v>
      </c>
    </row>
    <row r="18">
      <c r="A18" t="inlineStr">
        <is>
          <t>Impuesto a los intereses del depósito (exonerado para personas naturales; verificar)</t>
        </is>
      </c>
      <c r="B18" s="3" t="n">
        <v>0</v>
      </c>
    </row>
    <row r="19">
      <c r="A19" t="inlineStr">
        <is>
          <t>Impuesto al alquiler (renta de 1.ª categoría, efectivo)</t>
        </is>
      </c>
      <c r="B19" s="3" t="n">
        <v>0.05</v>
      </c>
    </row>
    <row r="21">
      <c r="A21" s="7" t="inlineStr">
        <is>
          <t>Valor del terreno del escenario elegido (S/)</t>
        </is>
      </c>
      <c r="B21" s="8">
        <f>Supuestos!$B$10*CHOOSE(Supuestos!$B$3,Supuestos!$B$11,Supuestos!$B$12,Supuestos!$B$13)</f>
        <v/>
      </c>
    </row>
    <row r="22">
      <c r="A22" t="inlineStr">
        <is>
          <t>Factor de costo del escenario elegido</t>
        </is>
      </c>
      <c r="B22" s="9">
        <f>CHOOSE(Supuestos!$B$3,Supuestos!$B$7,Supuestos!$B$8,Supuestos!$B$9)</f>
        <v/>
      </c>
    </row>
    <row r="23">
      <c r="A23" t="inlineStr">
        <is>
          <t>Valorización del terreno del escenario elegido</t>
        </is>
      </c>
      <c r="B23" s="10">
        <f>CHOOSE(Supuestos!$B$3,Supuestos!$B$14,Supuestos!$B$15,Supuestos!$B$16)</f>
        <v/>
      </c>
    </row>
    <row r="24">
      <c r="A24" t="inlineStr">
        <is>
          <t>Depósito neto de impuestos</t>
        </is>
      </c>
      <c r="B24" s="10">
        <f>Supuestos!$B$17*(1-Supuestos!$B$18)</f>
        <v/>
      </c>
    </row>
    <row r="26">
      <c r="A26" s="11" t="inlineStr">
        <is>
          <t>Cómo usar: cambie el escenario o cualquier celda amarilla (aquí o en cada hoja de alternativa); la hoja «Comparación» se recalcula sola.</t>
        </is>
      </c>
    </row>
  </sheetData>
  <dataValidations count="1">
    <dataValidation sqref="B3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  <col width="9" customWidth="1" min="5" max="5"/>
    <col width="13" customWidth="1" min="6" max="6"/>
    <col width="14" customWidth="1" min="7" max="7"/>
    <col width="14" customWidth="1" min="8" max="8"/>
    <col width="12" customWidth="1" min="9" max="9"/>
    <col width="10" customWidth="1" min="10" max="10"/>
    <col width="34" customWidth="1" min="11" max="11"/>
    <col width="24" customWidth="1" min="12" max="12"/>
    <col width="12" customWidth="1" min="13" max="13"/>
  </cols>
  <sheetData>
    <row r="1">
      <c r="A1" s="1" t="inlineStr">
        <is>
          <t>COMPARACIÓN DE ALTERNATIVAS (escenario elegido en «Supuestos»)</t>
        </is>
      </c>
    </row>
    <row r="3" ht="32" customHeight="1">
      <c r="A3" s="12" t="inlineStr">
        <is>
          <t>Alt.</t>
        </is>
      </c>
      <c r="B3" s="12" t="inlineStr">
        <is>
          <t>Alternativa</t>
        </is>
      </c>
      <c r="C3" s="12" t="inlineStr">
        <is>
          <t>Inversión total</t>
        </is>
      </c>
      <c r="D3" s="12" t="inlineStr">
        <is>
          <t>VAN al 10 %</t>
        </is>
      </c>
      <c r="E3" s="12" t="inlineStr">
        <is>
          <t>TIR</t>
        </is>
      </c>
      <c r="F3" s="12" t="inlineStr">
        <is>
          <t>Recupera en el año</t>
        </is>
      </c>
      <c r="G3" s="12" t="inlineStr">
        <is>
          <t>Caja neta año 5</t>
        </is>
      </c>
      <c r="H3" s="12" t="inlineStr">
        <is>
          <t>Rinde sobre (terreno + inversión)</t>
        </is>
      </c>
      <c r="I3" s="12" t="inlineStr">
        <is>
          <t>TIR contando el terreno</t>
        </is>
      </c>
      <c r="J3" s="12" t="inlineStr">
        <is>
          <t>Riesgo</t>
        </is>
      </c>
      <c r="K3" s="12" t="inlineStr">
        <is>
          <t>Futuro</t>
        </is>
      </c>
      <c r="L3" s="12" t="inlineStr">
        <is>
          <t>Gestión</t>
        </is>
      </c>
      <c r="M3" s="12" t="inlineStr">
        <is>
          <t>Capital</t>
        </is>
      </c>
    </row>
    <row r="4">
      <c r="A4" s="13" t="inlineStr">
        <is>
          <t>L</t>
        </is>
      </c>
      <c r="B4" s="13" t="inlineStr">
        <is>
          <t>Ceder la esquina en derecho de superficie (el inquilino construye)</t>
        </is>
      </c>
      <c r="C4" s="14">
        <f>'L Esquina cedida'!$C$38</f>
        <v/>
      </c>
      <c r="D4" s="14">
        <f>'L Esquina cedida'!$C$39</f>
        <v/>
      </c>
      <c r="E4" s="15">
        <f>'L Esquina cedida'!$C$40</f>
        <v/>
      </c>
      <c r="F4" s="16">
        <f>'L Esquina cedida'!$C$41</f>
        <v/>
      </c>
      <c r="G4" s="14">
        <f>'L Esquina cedida'!$C$42</f>
        <v/>
      </c>
      <c r="H4" s="15">
        <f>G4/((1+Supuestos!$B$5)^4)/(C4+Supuestos!$B$21)</f>
        <v/>
      </c>
      <c r="I4" s="15">
        <f>'L Esquina cedida'!$C$43</f>
        <v/>
      </c>
      <c r="J4" s="13" t="inlineStr">
        <is>
          <t>medio</t>
        </is>
      </c>
      <c r="K4" s="13" t="inlineStr">
        <is>
          <t>alta: al vencer el plazo la edificación queda para el propietario</t>
        </is>
      </c>
      <c r="L4" s="13" t="inlineStr">
        <is>
          <t>baja</t>
        </is>
      </c>
      <c r="M4" t="inlineStr">
        <is>
          <t>sin capital</t>
        </is>
      </c>
    </row>
    <row r="5">
      <c r="A5" s="13" t="inlineStr">
        <is>
          <t>J</t>
        </is>
      </c>
      <c r="B5" s="13" t="inlineStr">
        <is>
          <t>Arrendar el lote completo a un operador</t>
        </is>
      </c>
      <c r="C5" s="14">
        <f>'J Arrendar el lote'!$C$38</f>
        <v/>
      </c>
      <c r="D5" s="14">
        <f>'J Arrendar el lote'!$C$39</f>
        <v/>
      </c>
      <c r="E5" s="15">
        <f>'J Arrendar el lote'!$C$40</f>
        <v/>
      </c>
      <c r="F5" s="16">
        <f>'J Arrendar el lote'!$C$41</f>
        <v/>
      </c>
      <c r="G5" s="14">
        <f>'J Arrendar el lote'!$C$42</f>
        <v/>
      </c>
      <c r="H5" s="15">
        <f>G5/((1+Supuestos!$B$5)^4)/(C5+Supuestos!$B$21)</f>
        <v/>
      </c>
      <c r="I5" s="15">
        <f>'J Arrendar el lote'!$C$43</f>
        <v/>
      </c>
      <c r="J5" s="13" t="inlineStr">
        <is>
          <t>medio</t>
        </is>
      </c>
      <c r="K5" s="13" t="inlineStr">
        <is>
          <t>media: un contrato largo congela el lote (pactar salida anticipada con aviso)</t>
        </is>
      </c>
      <c r="L5" s="13" t="inlineStr">
        <is>
          <t>muy baja</t>
        </is>
      </c>
      <c r="M5" t="inlineStr">
        <is>
          <t>sin capital</t>
        </is>
      </c>
    </row>
    <row r="6">
      <c r="A6" s="13" t="inlineStr">
        <is>
          <t>B</t>
        </is>
      </c>
      <c r="B6" s="13" t="inlineStr">
        <is>
          <t>Estacionamiento descubierto de bajo costo</t>
        </is>
      </c>
      <c r="C6" s="14">
        <f>'B Estac. descubierto'!$C$51</f>
        <v/>
      </c>
      <c r="D6" s="14">
        <f>'B Estac. descubierto'!$C$52</f>
        <v/>
      </c>
      <c r="E6" s="15">
        <f>'B Estac. descubierto'!$C$53</f>
        <v/>
      </c>
      <c r="F6" s="16">
        <f>'B Estac. descubierto'!$C$54</f>
        <v/>
      </c>
      <c r="G6" s="14">
        <f>'B Estac. descubierto'!$C$55</f>
        <v/>
      </c>
      <c r="H6" s="15">
        <f>G6/((1+Supuestos!$B$5)^4)/(C6+Supuestos!$B$21)</f>
        <v/>
      </c>
      <c r="I6" s="15">
        <f>'B Estac. descubierto'!$C$56</f>
        <v/>
      </c>
      <c r="J6" s="13" t="inlineStr">
        <is>
          <t>medio</t>
        </is>
      </c>
      <c r="K6" s="13" t="inlineStr">
        <is>
          <t>alta: casi todo es reversible</t>
        </is>
      </c>
      <c r="L6" s="13" t="inlineStr">
        <is>
          <t>media (guardián, cobranza)</t>
        </is>
      </c>
      <c r="M6" t="inlineStr">
        <is>
          <t>propio</t>
        </is>
      </c>
    </row>
    <row r="7">
      <c r="A7" s="13" t="inlineStr">
        <is>
          <t>C1</t>
        </is>
      </c>
      <c r="B7" s="13" t="inlineStr">
        <is>
          <t>Local de esquina + cochera de abonados</t>
        </is>
      </c>
      <c r="C7" s="14">
        <f>'C1 Esquina + cochera'!$C$72</f>
        <v/>
      </c>
      <c r="D7" s="14">
        <f>'C1 Esquina + cochera'!$C$73</f>
        <v/>
      </c>
      <c r="E7" s="15">
        <f>'C1 Esquina + cochera'!$C$74</f>
        <v/>
      </c>
      <c r="F7" s="16">
        <f>'C1 Esquina + cochera'!$C$75</f>
        <v/>
      </c>
      <c r="G7" s="14">
        <f>'C1 Esquina + cochera'!$C$76</f>
        <v/>
      </c>
      <c r="H7" s="15">
        <f>G7/((1+Supuestos!$B$5)^4)/(C7+Supuestos!$B$21)</f>
        <v/>
      </c>
      <c r="I7" s="15">
        <f>'C1 Esquina + cochera'!$C$77</f>
        <v/>
      </c>
      <c r="J7" s="13" t="inlineStr">
        <is>
          <t>medio</t>
        </is>
      </c>
      <c r="K7" s="13" t="inlineStr">
        <is>
          <t>alta: la esquina queda lista para crecer y el resto del frente sigue libre</t>
        </is>
      </c>
      <c r="L7" s="13" t="inlineStr">
        <is>
          <t>baja</t>
        </is>
      </c>
      <c r="M7" t="inlineStr">
        <is>
          <t>propio</t>
        </is>
      </c>
    </row>
    <row r="8">
      <c r="A8" s="13" t="inlineStr">
        <is>
          <t>K</t>
        </is>
      </c>
      <c r="B8" s="13" t="inlineStr">
        <is>
          <t>Terminal o paradero de vans y colectivos</t>
        </is>
      </c>
      <c r="C8" s="14">
        <f>'K Terminal de vans'!$C$44</f>
        <v/>
      </c>
      <c r="D8" s="14">
        <f>'K Terminal de vans'!$C$45</f>
        <v/>
      </c>
      <c r="E8" s="15">
        <f>'K Terminal de vans'!$C$46</f>
        <v/>
      </c>
      <c r="F8" s="16">
        <f>'K Terminal de vans'!$C$47</f>
        <v/>
      </c>
      <c r="G8" s="14">
        <f>'K Terminal de vans'!$C$48</f>
        <v/>
      </c>
      <c r="H8" s="15">
        <f>G8/((1+Supuestos!$B$5)^4)/(C8+Supuestos!$B$21)</f>
        <v/>
      </c>
      <c r="I8" s="15">
        <f>'K Terminal de vans'!$C$49</f>
        <v/>
      </c>
      <c r="J8" s="13" t="inlineStr">
        <is>
          <t>alto</t>
        </is>
      </c>
      <c r="K8" s="13" t="inlineStr">
        <is>
          <t>media</t>
        </is>
      </c>
      <c r="L8" s="13" t="inlineStr">
        <is>
          <t>alta (autorizaciones, empresas de transporte)</t>
        </is>
      </c>
      <c r="M8" t="inlineStr">
        <is>
          <t>propio</t>
        </is>
      </c>
    </row>
    <row r="9">
      <c r="A9" s="13" t="inlineStr">
        <is>
          <t>C</t>
        </is>
      </c>
      <c r="B9" s="13" t="inlineStr">
        <is>
          <t>Locales en la esquina y el jirón + cochera de abonados</t>
        </is>
      </c>
      <c r="C9" s="14">
        <f>'C Locales + cochera'!$C$97</f>
        <v/>
      </c>
      <c r="D9" s="14">
        <f>'C Locales + cochera'!$C$98</f>
        <v/>
      </c>
      <c r="E9" s="15">
        <f>'C Locales + cochera'!$C$99</f>
        <v/>
      </c>
      <c r="F9" s="16">
        <f>'C Locales + cochera'!$C$100</f>
        <v/>
      </c>
      <c r="G9" s="14">
        <f>'C Locales + cochera'!$C$101</f>
        <v/>
      </c>
      <c r="H9" s="15">
        <f>G9/((1+Supuestos!$B$5)^4)/(C9+Supuestos!$B$21)</f>
        <v/>
      </c>
      <c r="I9" s="15">
        <f>'C Locales + cochera'!$C$102</f>
        <v/>
      </c>
      <c r="J9" s="13" t="inlineStr">
        <is>
          <t>medio-alto</t>
        </is>
      </c>
      <c r="K9" s="13" t="inlineStr">
        <is>
          <t>alta: deja la estructura lista para crecer en altura</t>
        </is>
      </c>
      <c r="L9" s="13" t="inlineStr">
        <is>
          <t>baja (alquiler pasivo)</t>
        </is>
      </c>
      <c r="M9" t="inlineStr">
        <is>
          <t>propio</t>
        </is>
      </c>
    </row>
    <row r="10">
      <c r="A10" s="13" t="inlineStr">
        <is>
          <t>A</t>
        </is>
      </c>
      <c r="B10" s="13" t="inlineStr">
        <is>
          <t>Estacionamiento techado (anteproyecto actual)</t>
        </is>
      </c>
      <c r="C10" s="14">
        <f>'A Estac. techado'!$C$40</f>
        <v/>
      </c>
      <c r="D10" s="14">
        <f>'A Estac. techado'!$C$41</f>
        <v/>
      </c>
      <c r="E10" s="15">
        <f>'A Estac. techado'!$C$42</f>
        <v/>
      </c>
      <c r="F10" s="16">
        <f>'A Estac. techado'!$C$43</f>
        <v/>
      </c>
      <c r="G10" s="14">
        <f>'A Estac. techado'!$C$44</f>
        <v/>
      </c>
      <c r="H10" s="15">
        <f>G10/((1+Supuestos!$B$5)^4)/(C10+Supuestos!$B$21)</f>
        <v/>
      </c>
      <c r="I10" s="15">
        <f>'A Estac. techado'!$C$45</f>
        <v/>
      </c>
      <c r="J10" s="13" t="inlineStr">
        <is>
          <t>medio</t>
        </is>
      </c>
      <c r="K10" s="13" t="inlineStr">
        <is>
          <t>media: la estructura metálica se puede desmontar, pero ocupa todo el lote</t>
        </is>
      </c>
      <c r="L10" s="13" t="inlineStr">
        <is>
          <t>media (guardián, cobranza)</t>
        </is>
      </c>
      <c r="M10" t="inlineStr">
        <is>
          <t>propio</t>
        </is>
      </c>
    </row>
    <row r="11">
      <c r="A11" s="13" t="inlineStr">
        <is>
          <t>F</t>
        </is>
      </c>
      <c r="B11" s="13" t="inlineStr">
        <is>
          <t>Cancha sintética techada (fulbito)</t>
        </is>
      </c>
      <c r="C11" s="14">
        <f>'F Cancha techada'!$C$51</f>
        <v/>
      </c>
      <c r="D11" s="14">
        <f>'F Cancha techada'!$C$52</f>
        <v/>
      </c>
      <c r="E11" s="15">
        <f>'F Cancha techada'!$C$53</f>
        <v/>
      </c>
      <c r="F11" s="16">
        <f>'F Cancha techada'!$C$54</f>
        <v/>
      </c>
      <c r="G11" s="14">
        <f>'F Cancha techada'!$C$55</f>
        <v/>
      </c>
      <c r="H11" s="15">
        <f>G11/((1+Supuestos!$B$5)^4)/(C11+Supuestos!$B$21)</f>
        <v/>
      </c>
      <c r="I11" s="15">
        <f>'F Cancha techada'!$C$56</f>
        <v/>
      </c>
      <c r="J11" s="13" t="inlineStr">
        <is>
          <t>alto</t>
        </is>
      </c>
      <c r="K11" s="13" t="inlineStr">
        <is>
          <t>baja: ocupa todo el lote y tapa el frente comercial al jirón</t>
        </is>
      </c>
      <c r="L11" s="13" t="inlineStr">
        <is>
          <t>alta (horarios nocturnos, encargado)</t>
        </is>
      </c>
      <c r="M11" t="inlineStr">
        <is>
          <t>propio</t>
        </is>
      </c>
    </row>
    <row r="12">
      <c r="A12" s="13" t="inlineStr">
        <is>
          <t>G</t>
        </is>
      </c>
      <c r="B12" s="13" t="inlineStr">
        <is>
          <t>Local de eventos (salón de recepciones)</t>
        </is>
      </c>
      <c r="C12" s="14">
        <f>'G Local de eventos'!$C$44</f>
        <v/>
      </c>
      <c r="D12" s="14">
        <f>'G Local de eventos'!$C$45</f>
        <v/>
      </c>
      <c r="E12" s="15">
        <f>'G Local de eventos'!$C$46</f>
        <v/>
      </c>
      <c r="F12" s="16">
        <f>'G Local de eventos'!$C$47</f>
        <v/>
      </c>
      <c r="G12" s="14">
        <f>'G Local de eventos'!$C$48</f>
        <v/>
      </c>
      <c r="H12" s="15">
        <f>G12/((1+Supuestos!$B$5)^4)/(C12+Supuestos!$B$21)</f>
        <v/>
      </c>
      <c r="I12" s="15">
        <f>'G Local de eventos'!$C$49</f>
        <v/>
      </c>
      <c r="J12" s="13" t="inlineStr">
        <is>
          <t>alto</t>
        </is>
      </c>
      <c r="K12" s="13" t="inlineStr">
        <is>
          <t>media</t>
        </is>
      </c>
      <c r="L12" s="13" t="inlineStr">
        <is>
          <t>alta (agenda, limpieza, vecinos)</t>
        </is>
      </c>
      <c r="M12" t="inlineStr">
        <is>
          <t>propio</t>
        </is>
      </c>
    </row>
    <row r="13">
      <c r="A13" s="13" t="inlineStr">
        <is>
          <t>E</t>
        </is>
      </c>
      <c r="B13" s="13" t="inlineStr">
        <is>
          <t>C + 1 piso de consultorios (año 2)</t>
        </is>
      </c>
      <c r="C13" s="14">
        <f>'E C + consultorios'!$C$123</f>
        <v/>
      </c>
      <c r="D13" s="14">
        <f>'E C + consultorios'!$C$124</f>
        <v/>
      </c>
      <c r="E13" s="15">
        <f>'E C + consultorios'!$C$125</f>
        <v/>
      </c>
      <c r="F13" s="16">
        <f>'E C + consultorios'!$C$126</f>
        <v/>
      </c>
      <c r="G13" s="14">
        <f>'E C + consultorios'!$C$127</f>
        <v/>
      </c>
      <c r="H13" s="15">
        <f>G13/((1+Supuestos!$B$5)^4)/(C13+Supuestos!$B$21)</f>
        <v/>
      </c>
      <c r="I13" s="15">
        <f>'E C + consultorios'!$C$128</f>
        <v/>
      </c>
      <c r="J13" s="13" t="inlineStr">
        <is>
          <t>alto</t>
        </is>
      </c>
      <c r="K13" s="13" t="inlineStr">
        <is>
          <t>media</t>
        </is>
      </c>
      <c r="L13" s="13" t="inlineStr">
        <is>
          <t>media</t>
        </is>
      </c>
      <c r="M13" t="inlineStr">
        <is>
          <t>propio</t>
        </is>
      </c>
    </row>
    <row r="14">
      <c r="A14" s="13" t="inlineStr">
        <is>
          <t>D</t>
        </is>
      </c>
      <c r="B14" s="13" t="inlineStr">
        <is>
          <t>C + 2 pisos de minidepartamentos (año 3)</t>
        </is>
      </c>
      <c r="C14" s="14">
        <f>'D C + minideptos'!$C$122</f>
        <v/>
      </c>
      <c r="D14" s="14">
        <f>'D C + minideptos'!$C$123</f>
        <v/>
      </c>
      <c r="E14" s="15">
        <f>'D C + minideptos'!$C$124</f>
        <v/>
      </c>
      <c r="F14" s="16">
        <f>'D C + minideptos'!$C$125</f>
        <v/>
      </c>
      <c r="G14" s="14">
        <f>'D C + minideptos'!$C$126</f>
        <v/>
      </c>
      <c r="H14" s="15">
        <f>G14/((1+Supuestos!$B$5)^4)/(C14+Supuestos!$B$21)</f>
        <v/>
      </c>
      <c r="I14" s="15">
        <f>'D C + minideptos'!$C$127</f>
        <v/>
      </c>
      <c r="J14" s="13" t="inlineStr">
        <is>
          <t>alto</t>
        </is>
      </c>
      <c r="K14" s="13" t="inlineStr">
        <is>
          <t>media</t>
        </is>
      </c>
      <c r="L14" s="13" t="inlineStr">
        <is>
          <t>media (8 inquilinos)</t>
        </is>
      </c>
      <c r="M14" t="inlineStr">
        <is>
          <t>propio</t>
        </is>
      </c>
    </row>
    <row r="15">
      <c r="A15" s="13" t="inlineStr">
        <is>
          <t>H</t>
        </is>
      </c>
      <c r="B15" s="13" t="inlineStr">
        <is>
          <t>Hostal de 16 habitaciones (3 pisos)</t>
        </is>
      </c>
      <c r="C15" s="14">
        <f>'H Hostal'!$C$42</f>
        <v/>
      </c>
      <c r="D15" s="14">
        <f>'H Hostal'!$C$43</f>
        <v/>
      </c>
      <c r="E15" s="15">
        <f>'H Hostal'!$C$44</f>
        <v/>
      </c>
      <c r="F15" s="16">
        <f>'H Hostal'!$C$45</f>
        <v/>
      </c>
      <c r="G15" s="14">
        <f>'H Hostal'!$C$46</f>
        <v/>
      </c>
      <c r="H15" s="15">
        <f>G15/((1+Supuestos!$B$5)^4)/(C15+Supuestos!$B$21)</f>
        <v/>
      </c>
      <c r="I15" s="15">
        <f>'H Hostal'!$C$47</f>
        <v/>
      </c>
      <c r="J15" s="13" t="inlineStr">
        <is>
          <t>alto</t>
        </is>
      </c>
      <c r="K15" s="13" t="inlineStr">
        <is>
          <t>media</t>
        </is>
      </c>
      <c r="L15" s="13" t="inlineStr">
        <is>
          <t>muy alta (operación 24 h)</t>
        </is>
      </c>
      <c r="M15" t="inlineStr">
        <is>
          <t>propio</t>
        </is>
      </c>
    </row>
    <row r="17">
      <c r="B17" s="7" t="inlineStr">
        <is>
          <t>Vender el terreno hoy (referencia)</t>
        </is>
      </c>
      <c r="C17" s="8">
        <f>Supuestos!$B$21</f>
        <v/>
      </c>
      <c r="D17" t="inlineStr">
        <is>
          <t>Precio de venta estimado; depositado al</t>
        </is>
      </c>
      <c r="E17" s="15">
        <f>Supuestos!$B$17</f>
        <v/>
      </c>
      <c r="F17" t="inlineStr">
        <is>
          <t>rendiría por año:</t>
        </is>
      </c>
      <c r="G17" s="8">
        <f>Supuestos!$B$21*Supuestos!$B$24</f>
        <v/>
      </c>
      <c r="H17" s="15">
        <f>Supuestos!$B$24</f>
        <v/>
      </c>
      <c r="I17" s="15">
        <f>Supuestos!$B$24</f>
        <v/>
      </c>
    </row>
    <row r="19" ht="58" customHeight="1">
      <c r="B19" s="17" t="inlineStr">
        <is>
          <t>Orden: por VAN en el escenario base. «Rinde sobre (terreno + inversión)» compara la caja del año 5 (a precios de hoy) con todo el capital comprometido, incluido el valor del terreno. «TIR contando el terreno» trata el lote como si se aportara hoy a valor de mercado y se recuperara valorizado en el año 20: si es menor que vender y depositar (fila de referencia), la alternativa no paga el terreno.</t>
        </is>
      </c>
    </row>
  </sheetData>
  <mergeCells count="1">
    <mergeCell ref="B19:L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L. Ceder la esquina en derecho de superficie (el inquilino construye)</t>
        </is>
      </c>
    </row>
    <row r="2" ht="30" customHeight="1">
      <c r="A2" s="17" t="inlineStr">
        <is>
          <t>Una cadena, caja, cooperativa o comercio construye su local en la esquina (build-to-suit o derecho de superficie a 10-20 años) y paga renta por el suelo. El fondo queda libre para arrendarlo o para una cochera si se prevenden abonos.</t>
        </is>
      </c>
    </row>
    <row r="4">
      <c r="A4" s="18" t="inlineStr">
        <is>
          <t>Fase 1: Derecho de superficie en la esquina</t>
        </is>
      </c>
    </row>
    <row r="5">
      <c r="D5" t="inlineStr">
        <is>
          <t>Inversión (calculada en su propio modelo, por factor de escenario)</t>
        </is>
      </c>
      <c r="E5" s="8">
        <f>0.0*Supuestos!$B$22</f>
        <v/>
      </c>
    </row>
    <row r="6">
      <c r="D6" t="inlineStr">
        <is>
          <t>Año de inversión (opera desde el año siguiente)</t>
        </is>
      </c>
      <c r="E6" s="19" t="n">
        <v>0</v>
      </c>
    </row>
    <row r="7">
      <c r="D7" t="inlineStr">
        <is>
          <t>Ingreso bruto potencial S/ por mes - pesimista</t>
        </is>
      </c>
      <c r="E7" s="6" t="n">
        <v>560</v>
      </c>
    </row>
    <row r="8">
      <c r="D8" t="inlineStr">
        <is>
          <t>Ingreso bruto potencial S/ por mes - base</t>
        </is>
      </c>
      <c r="E8" s="6" t="n">
        <v>800</v>
      </c>
    </row>
    <row r="9">
      <c r="D9" t="inlineStr">
        <is>
          <t>Ingreso bruto potencial S/ por mes - optimista</t>
        </is>
      </c>
      <c r="E9" s="6" t="n">
        <v>1200</v>
      </c>
    </row>
    <row r="10">
      <c r="D10" t="inlineStr">
        <is>
          <t>Ocupación cobrada - pesimista</t>
        </is>
      </c>
      <c r="E10" s="3" t="n">
        <v>0.95</v>
      </c>
    </row>
    <row r="11">
      <c r="D11" t="inlineStr">
        <is>
          <t>Ocupación cobrada - base</t>
        </is>
      </c>
      <c r="E11" s="3" t="n">
        <v>0.95</v>
      </c>
    </row>
    <row r="12">
      <c r="D12" t="inlineStr">
        <is>
          <t>Ocupación cobrada - optimista</t>
        </is>
      </c>
      <c r="E12" s="3" t="n">
        <v>0.95</v>
      </c>
    </row>
    <row r="13">
      <c r="D13" t="inlineStr">
        <is>
          <t>Gastos fijos S/ por año (personal, energía, mantenimiento, seguro, predial)</t>
        </is>
      </c>
      <c r="E13" s="6" t="n">
        <v>300</v>
      </c>
    </row>
    <row r="14">
      <c r="D14" t="inlineStr">
        <is>
          <t>Gastos variables (% del ingreso cobrado)</t>
        </is>
      </c>
      <c r="E14" s="3" t="n">
        <v>0</v>
      </c>
    </row>
    <row r="15">
      <c r="D15" t="inlineStr">
        <is>
          <t>Impuestos (% del ingreso cobrado)</t>
        </is>
      </c>
      <c r="E15" s="3" t="n">
        <v>0.05</v>
      </c>
    </row>
    <row r="16">
      <c r="D16" t="inlineStr">
        <is>
          <t>Ingreso relativo 1.er año de operación</t>
        </is>
      </c>
      <c r="E16" s="3" t="n">
        <v>0.5</v>
      </c>
    </row>
    <row r="17">
      <c r="D17" t="inlineStr">
        <is>
          <t>Ingreso relativo 2.º año de operación</t>
        </is>
      </c>
      <c r="E17" s="3" t="n">
        <v>1</v>
      </c>
    </row>
    <row r="18">
      <c r="D18" t="inlineStr">
        <is>
          <t>Vida útil para valor residual (años)</t>
        </is>
      </c>
      <c r="E18" s="19" t="n">
        <v>1</v>
      </c>
    </row>
    <row r="20">
      <c r="A20" s="7" t="inlineStr">
        <is>
          <t>FLUJO DE CAJA (S/ nominales)</t>
        </is>
      </c>
    </row>
    <row r="21">
      <c r="A21" s="20" t="inlineStr">
        <is>
          <t>Concepto / año</t>
        </is>
      </c>
      <c r="C21" s="20" t="n">
        <v>0</v>
      </c>
      <c r="D21" s="20" t="n">
        <v>1</v>
      </c>
      <c r="E21" s="20" t="n">
        <v>2</v>
      </c>
      <c r="F21" s="20" t="n">
        <v>3</v>
      </c>
      <c r="G21" s="20" t="n">
        <v>4</v>
      </c>
      <c r="H21" s="20" t="n">
        <v>5</v>
      </c>
      <c r="I21" s="20" t="n">
        <v>6</v>
      </c>
      <c r="J21" s="20" t="n">
        <v>7</v>
      </c>
      <c r="K21" s="20" t="n">
        <v>8</v>
      </c>
      <c r="L21" s="20" t="n">
        <v>9</v>
      </c>
      <c r="M21" s="20" t="n">
        <v>10</v>
      </c>
      <c r="N21" s="20" t="n">
        <v>11</v>
      </c>
      <c r="O21" s="20" t="n">
        <v>12</v>
      </c>
      <c r="P21" s="20" t="n">
        <v>13</v>
      </c>
      <c r="Q21" s="20" t="n">
        <v>14</v>
      </c>
      <c r="R21" s="20" t="n">
        <v>15</v>
      </c>
      <c r="S21" s="20" t="n">
        <v>16</v>
      </c>
      <c r="T21" s="20" t="n">
        <v>17</v>
      </c>
      <c r="U21" s="20" t="n">
        <v>18</v>
      </c>
      <c r="V21" s="20" t="n">
        <v>19</v>
      </c>
      <c r="W21" s="20" t="n">
        <v>20</v>
      </c>
    </row>
    <row r="22">
      <c r="A22" s="21" t="inlineStr">
        <is>
          <t xml:space="preserve">  Inversión - fase 1</t>
        </is>
      </c>
      <c r="C22" s="14">
        <f>IF(C$21=$E$6,-$E$5*(1+Supuestos!$B$5)^MAX($E$6-1,0),0)</f>
        <v/>
      </c>
      <c r="D22" s="14">
        <f>IF(D$21=$E$6,-$E$5*(1+Supuestos!$B$5)^MAX($E$6-1,0),0)</f>
        <v/>
      </c>
      <c r="E22" s="14">
        <f>IF(E$21=$E$6,-$E$5*(1+Supuestos!$B$5)^MAX($E$6-1,0),0)</f>
        <v/>
      </c>
      <c r="F22" s="14">
        <f>IF(F$21=$E$6,-$E$5*(1+Supuestos!$B$5)^MAX($E$6-1,0),0)</f>
        <v/>
      </c>
      <c r="G22" s="14">
        <f>IF(G$21=$E$6,-$E$5*(1+Supuestos!$B$5)^MAX($E$6-1,0),0)</f>
        <v/>
      </c>
      <c r="H22" s="14">
        <f>IF(H$21=$E$6,-$E$5*(1+Supuestos!$B$5)^MAX($E$6-1,0),0)</f>
        <v/>
      </c>
      <c r="I22" s="14">
        <f>IF(I$21=$E$6,-$E$5*(1+Supuestos!$B$5)^MAX($E$6-1,0),0)</f>
        <v/>
      </c>
      <c r="J22" s="14">
        <f>IF(J$21=$E$6,-$E$5*(1+Supuestos!$B$5)^MAX($E$6-1,0),0)</f>
        <v/>
      </c>
      <c r="K22" s="14">
        <f>IF(K$21=$E$6,-$E$5*(1+Supuestos!$B$5)^MAX($E$6-1,0),0)</f>
        <v/>
      </c>
      <c r="L22" s="14">
        <f>IF(L$21=$E$6,-$E$5*(1+Supuestos!$B$5)^MAX($E$6-1,0),0)</f>
        <v/>
      </c>
      <c r="M22" s="14">
        <f>IF(M$21=$E$6,-$E$5*(1+Supuestos!$B$5)^MAX($E$6-1,0),0)</f>
        <v/>
      </c>
      <c r="N22" s="14">
        <f>IF(N$21=$E$6,-$E$5*(1+Supuestos!$B$5)^MAX($E$6-1,0),0)</f>
        <v/>
      </c>
      <c r="O22" s="14">
        <f>IF(O$21=$E$6,-$E$5*(1+Supuestos!$B$5)^MAX($E$6-1,0),0)</f>
        <v/>
      </c>
      <c r="P22" s="14">
        <f>IF(P$21=$E$6,-$E$5*(1+Supuestos!$B$5)^MAX($E$6-1,0),0)</f>
        <v/>
      </c>
      <c r="Q22" s="14">
        <f>IF(Q$21=$E$6,-$E$5*(1+Supuestos!$B$5)^MAX($E$6-1,0),0)</f>
        <v/>
      </c>
      <c r="R22" s="14">
        <f>IF(R$21=$E$6,-$E$5*(1+Supuestos!$B$5)^MAX($E$6-1,0),0)</f>
        <v/>
      </c>
      <c r="S22" s="14">
        <f>IF(S$21=$E$6,-$E$5*(1+Supuestos!$B$5)^MAX($E$6-1,0),0)</f>
        <v/>
      </c>
      <c r="T22" s="14">
        <f>IF(T$21=$E$6,-$E$5*(1+Supuestos!$B$5)^MAX($E$6-1,0),0)</f>
        <v/>
      </c>
      <c r="U22" s="14">
        <f>IF(U$21=$E$6,-$E$5*(1+Supuestos!$B$5)^MAX($E$6-1,0),0)</f>
        <v/>
      </c>
      <c r="V22" s="14">
        <f>IF(V$21=$E$6,-$E$5*(1+Supuestos!$B$5)^MAX($E$6-1,0),0)</f>
        <v/>
      </c>
      <c r="W22" s="14">
        <f>IF(W$21=$E$6,-$E$5*(1+Supuestos!$B$5)^MAX($E$6-1,0),0)</f>
        <v/>
      </c>
    </row>
    <row r="23">
      <c r="A23" s="21" t="inlineStr">
        <is>
          <t xml:space="preserve">  Ingresos cobrados - fase 1</t>
        </is>
      </c>
      <c r="C23" s="14">
        <f>IF((C$21-$E$6)&gt;=1,CHOOSE(Supuestos!$B$3,$E$7,$E$8,$E$9)*12*CHOOSE(Supuestos!$B$3,$E$10,$E$11,$E$12)*IF((C$21-$E$6)=1,$E$16,IF((C$21-$E$6)=2,$E$17,1))*(1+Supuestos!$B$5)^MAX(C$21-1,0),0)</f>
        <v/>
      </c>
      <c r="D23" s="14">
        <f>IF((D$21-$E$6)&gt;=1,CHOOSE(Supuestos!$B$3,$E$7,$E$8,$E$9)*12*CHOOSE(Supuestos!$B$3,$E$10,$E$11,$E$12)*IF((D$21-$E$6)=1,$E$16,IF((D$21-$E$6)=2,$E$17,1))*(1+Supuestos!$B$5)^MAX(D$21-1,0),0)</f>
        <v/>
      </c>
      <c r="E23" s="14">
        <f>IF((E$21-$E$6)&gt;=1,CHOOSE(Supuestos!$B$3,$E$7,$E$8,$E$9)*12*CHOOSE(Supuestos!$B$3,$E$10,$E$11,$E$12)*IF((E$21-$E$6)=1,$E$16,IF((E$21-$E$6)=2,$E$17,1))*(1+Supuestos!$B$5)^MAX(E$21-1,0),0)</f>
        <v/>
      </c>
      <c r="F23" s="14">
        <f>IF((F$21-$E$6)&gt;=1,CHOOSE(Supuestos!$B$3,$E$7,$E$8,$E$9)*12*CHOOSE(Supuestos!$B$3,$E$10,$E$11,$E$12)*IF((F$21-$E$6)=1,$E$16,IF((F$21-$E$6)=2,$E$17,1))*(1+Supuestos!$B$5)^MAX(F$21-1,0),0)</f>
        <v/>
      </c>
      <c r="G23" s="14">
        <f>IF((G$21-$E$6)&gt;=1,CHOOSE(Supuestos!$B$3,$E$7,$E$8,$E$9)*12*CHOOSE(Supuestos!$B$3,$E$10,$E$11,$E$12)*IF((G$21-$E$6)=1,$E$16,IF((G$21-$E$6)=2,$E$17,1))*(1+Supuestos!$B$5)^MAX(G$21-1,0),0)</f>
        <v/>
      </c>
      <c r="H23" s="14">
        <f>IF((H$21-$E$6)&gt;=1,CHOOSE(Supuestos!$B$3,$E$7,$E$8,$E$9)*12*CHOOSE(Supuestos!$B$3,$E$10,$E$11,$E$12)*IF((H$21-$E$6)=1,$E$16,IF((H$21-$E$6)=2,$E$17,1))*(1+Supuestos!$B$5)^MAX(H$21-1,0),0)</f>
        <v/>
      </c>
      <c r="I23" s="14">
        <f>IF((I$21-$E$6)&gt;=1,CHOOSE(Supuestos!$B$3,$E$7,$E$8,$E$9)*12*CHOOSE(Supuestos!$B$3,$E$10,$E$11,$E$12)*IF((I$21-$E$6)=1,$E$16,IF((I$21-$E$6)=2,$E$17,1))*(1+Supuestos!$B$5)^MAX(I$21-1,0),0)</f>
        <v/>
      </c>
      <c r="J23" s="14">
        <f>IF((J$21-$E$6)&gt;=1,CHOOSE(Supuestos!$B$3,$E$7,$E$8,$E$9)*12*CHOOSE(Supuestos!$B$3,$E$10,$E$11,$E$12)*IF((J$21-$E$6)=1,$E$16,IF((J$21-$E$6)=2,$E$17,1))*(1+Supuestos!$B$5)^MAX(J$21-1,0),0)</f>
        <v/>
      </c>
      <c r="K23" s="14">
        <f>IF((K$21-$E$6)&gt;=1,CHOOSE(Supuestos!$B$3,$E$7,$E$8,$E$9)*12*CHOOSE(Supuestos!$B$3,$E$10,$E$11,$E$12)*IF((K$21-$E$6)=1,$E$16,IF((K$21-$E$6)=2,$E$17,1))*(1+Supuestos!$B$5)^MAX(K$21-1,0),0)</f>
        <v/>
      </c>
      <c r="L23" s="14">
        <f>IF((L$21-$E$6)&gt;=1,CHOOSE(Supuestos!$B$3,$E$7,$E$8,$E$9)*12*CHOOSE(Supuestos!$B$3,$E$10,$E$11,$E$12)*IF((L$21-$E$6)=1,$E$16,IF((L$21-$E$6)=2,$E$17,1))*(1+Supuestos!$B$5)^MAX(L$21-1,0),0)</f>
        <v/>
      </c>
      <c r="M23" s="14">
        <f>IF((M$21-$E$6)&gt;=1,CHOOSE(Supuestos!$B$3,$E$7,$E$8,$E$9)*12*CHOOSE(Supuestos!$B$3,$E$10,$E$11,$E$12)*IF((M$21-$E$6)=1,$E$16,IF((M$21-$E$6)=2,$E$17,1))*(1+Supuestos!$B$5)^MAX(M$21-1,0),0)</f>
        <v/>
      </c>
      <c r="N23" s="14">
        <f>IF((N$21-$E$6)&gt;=1,CHOOSE(Supuestos!$B$3,$E$7,$E$8,$E$9)*12*CHOOSE(Supuestos!$B$3,$E$10,$E$11,$E$12)*IF((N$21-$E$6)=1,$E$16,IF((N$21-$E$6)=2,$E$17,1))*(1+Supuestos!$B$5)^MAX(N$21-1,0),0)</f>
        <v/>
      </c>
      <c r="O23" s="14">
        <f>IF((O$21-$E$6)&gt;=1,CHOOSE(Supuestos!$B$3,$E$7,$E$8,$E$9)*12*CHOOSE(Supuestos!$B$3,$E$10,$E$11,$E$12)*IF((O$21-$E$6)=1,$E$16,IF((O$21-$E$6)=2,$E$17,1))*(1+Supuestos!$B$5)^MAX(O$21-1,0),0)</f>
        <v/>
      </c>
      <c r="P23" s="14">
        <f>IF((P$21-$E$6)&gt;=1,CHOOSE(Supuestos!$B$3,$E$7,$E$8,$E$9)*12*CHOOSE(Supuestos!$B$3,$E$10,$E$11,$E$12)*IF((P$21-$E$6)=1,$E$16,IF((P$21-$E$6)=2,$E$17,1))*(1+Supuestos!$B$5)^MAX(P$21-1,0),0)</f>
        <v/>
      </c>
      <c r="Q23" s="14">
        <f>IF((Q$21-$E$6)&gt;=1,CHOOSE(Supuestos!$B$3,$E$7,$E$8,$E$9)*12*CHOOSE(Supuestos!$B$3,$E$10,$E$11,$E$12)*IF((Q$21-$E$6)=1,$E$16,IF((Q$21-$E$6)=2,$E$17,1))*(1+Supuestos!$B$5)^MAX(Q$21-1,0),0)</f>
        <v/>
      </c>
      <c r="R23" s="14">
        <f>IF((R$21-$E$6)&gt;=1,CHOOSE(Supuestos!$B$3,$E$7,$E$8,$E$9)*12*CHOOSE(Supuestos!$B$3,$E$10,$E$11,$E$12)*IF((R$21-$E$6)=1,$E$16,IF((R$21-$E$6)=2,$E$17,1))*(1+Supuestos!$B$5)^MAX(R$21-1,0),0)</f>
        <v/>
      </c>
      <c r="S23" s="14">
        <f>IF((S$21-$E$6)&gt;=1,CHOOSE(Supuestos!$B$3,$E$7,$E$8,$E$9)*12*CHOOSE(Supuestos!$B$3,$E$10,$E$11,$E$12)*IF((S$21-$E$6)=1,$E$16,IF((S$21-$E$6)=2,$E$17,1))*(1+Supuestos!$B$5)^MAX(S$21-1,0),0)</f>
        <v/>
      </c>
      <c r="T23" s="14">
        <f>IF((T$21-$E$6)&gt;=1,CHOOSE(Supuestos!$B$3,$E$7,$E$8,$E$9)*12*CHOOSE(Supuestos!$B$3,$E$10,$E$11,$E$12)*IF((T$21-$E$6)=1,$E$16,IF((T$21-$E$6)=2,$E$17,1))*(1+Supuestos!$B$5)^MAX(T$21-1,0),0)</f>
        <v/>
      </c>
      <c r="U23" s="14">
        <f>IF((U$21-$E$6)&gt;=1,CHOOSE(Supuestos!$B$3,$E$7,$E$8,$E$9)*12*CHOOSE(Supuestos!$B$3,$E$10,$E$11,$E$12)*IF((U$21-$E$6)=1,$E$16,IF((U$21-$E$6)=2,$E$17,1))*(1+Supuestos!$B$5)^MAX(U$21-1,0),0)</f>
        <v/>
      </c>
      <c r="V23" s="14">
        <f>IF((V$21-$E$6)&gt;=1,CHOOSE(Supuestos!$B$3,$E$7,$E$8,$E$9)*12*CHOOSE(Supuestos!$B$3,$E$10,$E$11,$E$12)*IF((V$21-$E$6)=1,$E$16,IF((V$21-$E$6)=2,$E$17,1))*(1+Supuestos!$B$5)^MAX(V$21-1,0),0)</f>
        <v/>
      </c>
      <c r="W23" s="14">
        <f>IF((W$21-$E$6)&gt;=1,CHOOSE(Supuestos!$B$3,$E$7,$E$8,$E$9)*12*CHOOSE(Supuestos!$B$3,$E$10,$E$11,$E$12)*IF((W$21-$E$6)=1,$E$16,IF((W$21-$E$6)=2,$E$17,1))*(1+Supuestos!$B$5)^MAX(W$21-1,0),0)</f>
        <v/>
      </c>
    </row>
    <row r="24">
      <c r="A24" s="21" t="inlineStr">
        <is>
          <t xml:space="preserve">  Gastos - fase 1</t>
        </is>
      </c>
      <c r="C24" s="14">
        <f>IF((C$21-$E$6)&gt;=1,-$E$13*(1+Supuestos!$B$5)^MAX(C$21-1,0)-$E$14*C23,0)</f>
        <v/>
      </c>
      <c r="D24" s="14">
        <f>IF((D$21-$E$6)&gt;=1,-$E$13*(1+Supuestos!$B$5)^MAX(D$21-1,0)-$E$14*D23,0)</f>
        <v/>
      </c>
      <c r="E24" s="14">
        <f>IF((E$21-$E$6)&gt;=1,-$E$13*(1+Supuestos!$B$5)^MAX(E$21-1,0)-$E$14*E23,0)</f>
        <v/>
      </c>
      <c r="F24" s="14">
        <f>IF((F$21-$E$6)&gt;=1,-$E$13*(1+Supuestos!$B$5)^MAX(F$21-1,0)-$E$14*F23,0)</f>
        <v/>
      </c>
      <c r="G24" s="14">
        <f>IF((G$21-$E$6)&gt;=1,-$E$13*(1+Supuestos!$B$5)^MAX(G$21-1,0)-$E$14*G23,0)</f>
        <v/>
      </c>
      <c r="H24" s="14">
        <f>IF((H$21-$E$6)&gt;=1,-$E$13*(1+Supuestos!$B$5)^MAX(H$21-1,0)-$E$14*H23,0)</f>
        <v/>
      </c>
      <c r="I24" s="14">
        <f>IF((I$21-$E$6)&gt;=1,-$E$13*(1+Supuestos!$B$5)^MAX(I$21-1,0)-$E$14*I23,0)</f>
        <v/>
      </c>
      <c r="J24" s="14">
        <f>IF((J$21-$E$6)&gt;=1,-$E$13*(1+Supuestos!$B$5)^MAX(J$21-1,0)-$E$14*J23,0)</f>
        <v/>
      </c>
      <c r="K24" s="14">
        <f>IF((K$21-$E$6)&gt;=1,-$E$13*(1+Supuestos!$B$5)^MAX(K$21-1,0)-$E$14*K23,0)</f>
        <v/>
      </c>
      <c r="L24" s="14">
        <f>IF((L$21-$E$6)&gt;=1,-$E$13*(1+Supuestos!$B$5)^MAX(L$21-1,0)-$E$14*L23,0)</f>
        <v/>
      </c>
      <c r="M24" s="14">
        <f>IF((M$21-$E$6)&gt;=1,-$E$13*(1+Supuestos!$B$5)^MAX(M$21-1,0)-$E$14*M23,0)</f>
        <v/>
      </c>
      <c r="N24" s="14">
        <f>IF((N$21-$E$6)&gt;=1,-$E$13*(1+Supuestos!$B$5)^MAX(N$21-1,0)-$E$14*N23,0)</f>
        <v/>
      </c>
      <c r="O24" s="14">
        <f>IF((O$21-$E$6)&gt;=1,-$E$13*(1+Supuestos!$B$5)^MAX(O$21-1,0)-$E$14*O23,0)</f>
        <v/>
      </c>
      <c r="P24" s="14">
        <f>IF((P$21-$E$6)&gt;=1,-$E$13*(1+Supuestos!$B$5)^MAX(P$21-1,0)-$E$14*P23,0)</f>
        <v/>
      </c>
      <c r="Q24" s="14">
        <f>IF((Q$21-$E$6)&gt;=1,-$E$13*(1+Supuestos!$B$5)^MAX(Q$21-1,0)-$E$14*Q23,0)</f>
        <v/>
      </c>
      <c r="R24" s="14">
        <f>IF((R$21-$E$6)&gt;=1,-$E$13*(1+Supuestos!$B$5)^MAX(R$21-1,0)-$E$14*R23,0)</f>
        <v/>
      </c>
      <c r="S24" s="14">
        <f>IF((S$21-$E$6)&gt;=1,-$E$13*(1+Supuestos!$B$5)^MAX(S$21-1,0)-$E$14*S23,0)</f>
        <v/>
      </c>
      <c r="T24" s="14">
        <f>IF((T$21-$E$6)&gt;=1,-$E$13*(1+Supuestos!$B$5)^MAX(T$21-1,0)-$E$14*T23,0)</f>
        <v/>
      </c>
      <c r="U24" s="14">
        <f>IF((U$21-$E$6)&gt;=1,-$E$13*(1+Supuestos!$B$5)^MAX(U$21-1,0)-$E$14*U23,0)</f>
        <v/>
      </c>
      <c r="V24" s="14">
        <f>IF((V$21-$E$6)&gt;=1,-$E$13*(1+Supuestos!$B$5)^MAX(V$21-1,0)-$E$14*V23,0)</f>
        <v/>
      </c>
      <c r="W24" s="14">
        <f>IF((W$21-$E$6)&gt;=1,-$E$13*(1+Supuestos!$B$5)^MAX(W$21-1,0)-$E$14*W23,0)</f>
        <v/>
      </c>
    </row>
    <row r="25">
      <c r="A25" s="21" t="inlineStr">
        <is>
          <t xml:space="preserve">  Impuestos - fase 1</t>
        </is>
      </c>
      <c r="C25" s="14">
        <f>-$E$15*C23</f>
        <v/>
      </c>
      <c r="D25" s="14">
        <f>-$E$15*D23</f>
        <v/>
      </c>
      <c r="E25" s="14">
        <f>-$E$15*E23</f>
        <v/>
      </c>
      <c r="F25" s="14">
        <f>-$E$15*F23</f>
        <v/>
      </c>
      <c r="G25" s="14">
        <f>-$E$15*G23</f>
        <v/>
      </c>
      <c r="H25" s="14">
        <f>-$E$15*H23</f>
        <v/>
      </c>
      <c r="I25" s="14">
        <f>-$E$15*I23</f>
        <v/>
      </c>
      <c r="J25" s="14">
        <f>-$E$15*J23</f>
        <v/>
      </c>
      <c r="K25" s="14">
        <f>-$E$15*K23</f>
        <v/>
      </c>
      <c r="L25" s="14">
        <f>-$E$15*L23</f>
        <v/>
      </c>
      <c r="M25" s="14">
        <f>-$E$15*M23</f>
        <v/>
      </c>
      <c r="N25" s="14">
        <f>-$E$15*N23</f>
        <v/>
      </c>
      <c r="O25" s="14">
        <f>-$E$15*O23</f>
        <v/>
      </c>
      <c r="P25" s="14">
        <f>-$E$15*P23</f>
        <v/>
      </c>
      <c r="Q25" s="14">
        <f>-$E$15*Q23</f>
        <v/>
      </c>
      <c r="R25" s="14">
        <f>-$E$15*R23</f>
        <v/>
      </c>
      <c r="S25" s="14">
        <f>-$E$15*S23</f>
        <v/>
      </c>
      <c r="T25" s="14">
        <f>-$E$15*T23</f>
        <v/>
      </c>
      <c r="U25" s="14">
        <f>-$E$15*U23</f>
        <v/>
      </c>
      <c r="V25" s="14">
        <f>-$E$15*V23</f>
        <v/>
      </c>
      <c r="W25" s="14">
        <f>-$E$15*W23</f>
        <v/>
      </c>
    </row>
    <row r="26">
      <c r="A26" s="21" t="inlineStr">
        <is>
          <t xml:space="preserve">  Reposiciones - fase 1</t>
        </is>
      </c>
      <c r="C26" s="14">
        <f>0</f>
        <v/>
      </c>
      <c r="D26" s="14">
        <f>0</f>
        <v/>
      </c>
      <c r="E26" s="14">
        <f>0</f>
        <v/>
      </c>
      <c r="F26" s="14">
        <f>0</f>
        <v/>
      </c>
      <c r="G26" s="14">
        <f>0</f>
        <v/>
      </c>
      <c r="H26" s="14">
        <f>0</f>
        <v/>
      </c>
      <c r="I26" s="14">
        <f>0</f>
        <v/>
      </c>
      <c r="J26" s="14">
        <f>0</f>
        <v/>
      </c>
      <c r="K26" s="14">
        <f>0</f>
        <v/>
      </c>
      <c r="L26" s="14">
        <f>0</f>
        <v/>
      </c>
      <c r="M26" s="14">
        <f>0</f>
        <v/>
      </c>
      <c r="N26" s="14">
        <f>0</f>
        <v/>
      </c>
      <c r="O26" s="14">
        <f>0</f>
        <v/>
      </c>
      <c r="P26" s="14">
        <f>0</f>
        <v/>
      </c>
      <c r="Q26" s="14">
        <f>0</f>
        <v/>
      </c>
      <c r="R26" s="14">
        <f>0</f>
        <v/>
      </c>
      <c r="S26" s="14">
        <f>0</f>
        <v/>
      </c>
      <c r="T26" s="14">
        <f>0</f>
        <v/>
      </c>
      <c r="U26" s="14">
        <f>0</f>
        <v/>
      </c>
      <c r="V26" s="14">
        <f>0</f>
        <v/>
      </c>
      <c r="W26" s="14">
        <f>0</f>
        <v/>
      </c>
    </row>
    <row r="27">
      <c r="A27" s="21" t="inlineStr">
        <is>
          <t xml:space="preserve">  Valor residual (año 20) - fase 1</t>
        </is>
      </c>
      <c r="C27" s="14">
        <f>IF(AND(C$21=20,$E$18&gt;1),$E$5*(1+Supuestos!$B$5)^MAX($E$6-1,0)*MAX(0,1-(20-$E$6)/$E$18),0)</f>
        <v/>
      </c>
      <c r="D27" s="14">
        <f>IF(AND(D$21=20,$E$18&gt;1),$E$5*(1+Supuestos!$B$5)^MAX($E$6-1,0)*MAX(0,1-(20-$E$6)/$E$18),0)</f>
        <v/>
      </c>
      <c r="E27" s="14">
        <f>IF(AND(E$21=20,$E$18&gt;1),$E$5*(1+Supuestos!$B$5)^MAX($E$6-1,0)*MAX(0,1-(20-$E$6)/$E$18),0)</f>
        <v/>
      </c>
      <c r="F27" s="14">
        <f>IF(AND(F$21=20,$E$18&gt;1),$E$5*(1+Supuestos!$B$5)^MAX($E$6-1,0)*MAX(0,1-(20-$E$6)/$E$18),0)</f>
        <v/>
      </c>
      <c r="G27" s="14">
        <f>IF(AND(G$21=20,$E$18&gt;1),$E$5*(1+Supuestos!$B$5)^MAX($E$6-1,0)*MAX(0,1-(20-$E$6)/$E$18),0)</f>
        <v/>
      </c>
      <c r="H27" s="14">
        <f>IF(AND(H$21=20,$E$18&gt;1),$E$5*(1+Supuestos!$B$5)^MAX($E$6-1,0)*MAX(0,1-(20-$E$6)/$E$18),0)</f>
        <v/>
      </c>
      <c r="I27" s="14">
        <f>IF(AND(I$21=20,$E$18&gt;1),$E$5*(1+Supuestos!$B$5)^MAX($E$6-1,0)*MAX(0,1-(20-$E$6)/$E$18),0)</f>
        <v/>
      </c>
      <c r="J27" s="14">
        <f>IF(AND(J$21=20,$E$18&gt;1),$E$5*(1+Supuestos!$B$5)^MAX($E$6-1,0)*MAX(0,1-(20-$E$6)/$E$18),0)</f>
        <v/>
      </c>
      <c r="K27" s="14">
        <f>IF(AND(K$21=20,$E$18&gt;1),$E$5*(1+Supuestos!$B$5)^MAX($E$6-1,0)*MAX(0,1-(20-$E$6)/$E$18),0)</f>
        <v/>
      </c>
      <c r="L27" s="14">
        <f>IF(AND(L$21=20,$E$18&gt;1),$E$5*(1+Supuestos!$B$5)^MAX($E$6-1,0)*MAX(0,1-(20-$E$6)/$E$18),0)</f>
        <v/>
      </c>
      <c r="M27" s="14">
        <f>IF(AND(M$21=20,$E$18&gt;1),$E$5*(1+Supuestos!$B$5)^MAX($E$6-1,0)*MAX(0,1-(20-$E$6)/$E$18),0)</f>
        <v/>
      </c>
      <c r="N27" s="14">
        <f>IF(AND(N$21=20,$E$18&gt;1),$E$5*(1+Supuestos!$B$5)^MAX($E$6-1,0)*MAX(0,1-(20-$E$6)/$E$18),0)</f>
        <v/>
      </c>
      <c r="O27" s="14">
        <f>IF(AND(O$21=20,$E$18&gt;1),$E$5*(1+Supuestos!$B$5)^MAX($E$6-1,0)*MAX(0,1-(20-$E$6)/$E$18),0)</f>
        <v/>
      </c>
      <c r="P27" s="14">
        <f>IF(AND(P$21=20,$E$18&gt;1),$E$5*(1+Supuestos!$B$5)^MAX($E$6-1,0)*MAX(0,1-(20-$E$6)/$E$18),0)</f>
        <v/>
      </c>
      <c r="Q27" s="14">
        <f>IF(AND(Q$21=20,$E$18&gt;1),$E$5*(1+Supuestos!$B$5)^MAX($E$6-1,0)*MAX(0,1-(20-$E$6)/$E$18),0)</f>
        <v/>
      </c>
      <c r="R27" s="14">
        <f>IF(AND(R$21=20,$E$18&gt;1),$E$5*(1+Supuestos!$B$5)^MAX($E$6-1,0)*MAX(0,1-(20-$E$6)/$E$18),0)</f>
        <v/>
      </c>
      <c r="S27" s="14">
        <f>IF(AND(S$21=20,$E$18&gt;1),$E$5*(1+Supuestos!$B$5)^MAX($E$6-1,0)*MAX(0,1-(20-$E$6)/$E$18),0)</f>
        <v/>
      </c>
      <c r="T27" s="14">
        <f>IF(AND(T$21=20,$E$18&gt;1),$E$5*(1+Supuestos!$B$5)^MAX($E$6-1,0)*MAX(0,1-(20-$E$6)/$E$18),0)</f>
        <v/>
      </c>
      <c r="U27" s="14">
        <f>IF(AND(U$21=20,$E$18&gt;1),$E$5*(1+Supuestos!$B$5)^MAX($E$6-1,0)*MAX(0,1-(20-$E$6)/$E$18),0)</f>
        <v/>
      </c>
      <c r="V27" s="14">
        <f>IF(AND(V$21=20,$E$18&gt;1),$E$5*(1+Supuestos!$B$5)^MAX($E$6-1,0)*MAX(0,1-(20-$E$6)/$E$18),0)</f>
        <v/>
      </c>
      <c r="W27" s="14">
        <f>IF(AND(W$21=20,$E$18&gt;1),$E$5*(1+Supuestos!$B$5)^MAX($E$6-1,0)*MAX(0,1-(20-$E$6)/$E$18),0)</f>
        <v/>
      </c>
    </row>
    <row r="28">
      <c r="A28" s="7" t="inlineStr">
        <is>
          <t>Inversión</t>
        </is>
      </c>
      <c r="C28" s="22">
        <f>C22</f>
        <v/>
      </c>
      <c r="D28" s="22">
        <f>D22</f>
        <v/>
      </c>
      <c r="E28" s="22">
        <f>E22</f>
        <v/>
      </c>
      <c r="F28" s="22">
        <f>F22</f>
        <v/>
      </c>
      <c r="G28" s="22">
        <f>G22</f>
        <v/>
      </c>
      <c r="H28" s="22">
        <f>H22</f>
        <v/>
      </c>
      <c r="I28" s="22">
        <f>I22</f>
        <v/>
      </c>
      <c r="J28" s="22">
        <f>J22</f>
        <v/>
      </c>
      <c r="K28" s="22">
        <f>K22</f>
        <v/>
      </c>
      <c r="L28" s="22">
        <f>L22</f>
        <v/>
      </c>
      <c r="M28" s="22">
        <f>M22</f>
        <v/>
      </c>
      <c r="N28" s="22">
        <f>N22</f>
        <v/>
      </c>
      <c r="O28" s="22">
        <f>O22</f>
        <v/>
      </c>
      <c r="P28" s="22">
        <f>P22</f>
        <v/>
      </c>
      <c r="Q28" s="22">
        <f>Q22</f>
        <v/>
      </c>
      <c r="R28" s="22">
        <f>R22</f>
        <v/>
      </c>
      <c r="S28" s="22">
        <f>S22</f>
        <v/>
      </c>
      <c r="T28" s="22">
        <f>T22</f>
        <v/>
      </c>
      <c r="U28" s="22">
        <f>U22</f>
        <v/>
      </c>
      <c r="V28" s="22">
        <f>V22</f>
        <v/>
      </c>
      <c r="W28" s="22">
        <f>W22</f>
        <v/>
      </c>
    </row>
    <row r="29">
      <c r="A29" s="7" t="inlineStr">
        <is>
          <t>Ingresos cobrados</t>
        </is>
      </c>
      <c r="C29" s="22">
        <f>C23</f>
        <v/>
      </c>
      <c r="D29" s="22">
        <f>D23</f>
        <v/>
      </c>
      <c r="E29" s="22">
        <f>E23</f>
        <v/>
      </c>
      <c r="F29" s="22">
        <f>F23</f>
        <v/>
      </c>
      <c r="G29" s="22">
        <f>G23</f>
        <v/>
      </c>
      <c r="H29" s="22">
        <f>H23</f>
        <v/>
      </c>
      <c r="I29" s="22">
        <f>I23</f>
        <v/>
      </c>
      <c r="J29" s="22">
        <f>J23</f>
        <v/>
      </c>
      <c r="K29" s="22">
        <f>K23</f>
        <v/>
      </c>
      <c r="L29" s="22">
        <f>L23</f>
        <v/>
      </c>
      <c r="M29" s="22">
        <f>M23</f>
        <v/>
      </c>
      <c r="N29" s="22">
        <f>N23</f>
        <v/>
      </c>
      <c r="O29" s="22">
        <f>O23</f>
        <v/>
      </c>
      <c r="P29" s="22">
        <f>P23</f>
        <v/>
      </c>
      <c r="Q29" s="22">
        <f>Q23</f>
        <v/>
      </c>
      <c r="R29" s="22">
        <f>R23</f>
        <v/>
      </c>
      <c r="S29" s="22">
        <f>S23</f>
        <v/>
      </c>
      <c r="T29" s="22">
        <f>T23</f>
        <v/>
      </c>
      <c r="U29" s="22">
        <f>U23</f>
        <v/>
      </c>
      <c r="V29" s="22">
        <f>V23</f>
        <v/>
      </c>
      <c r="W29" s="22">
        <f>W23</f>
        <v/>
      </c>
    </row>
    <row r="30">
      <c r="A30" s="7" t="inlineStr">
        <is>
          <t>Gastos</t>
        </is>
      </c>
      <c r="C30" s="22">
        <f>C24</f>
        <v/>
      </c>
      <c r="D30" s="22">
        <f>D24</f>
        <v/>
      </c>
      <c r="E30" s="22">
        <f>E24</f>
        <v/>
      </c>
      <c r="F30" s="22">
        <f>F24</f>
        <v/>
      </c>
      <c r="G30" s="22">
        <f>G24</f>
        <v/>
      </c>
      <c r="H30" s="22">
        <f>H24</f>
        <v/>
      </c>
      <c r="I30" s="22">
        <f>I24</f>
        <v/>
      </c>
      <c r="J30" s="22">
        <f>J24</f>
        <v/>
      </c>
      <c r="K30" s="22">
        <f>K24</f>
        <v/>
      </c>
      <c r="L30" s="22">
        <f>L24</f>
        <v/>
      </c>
      <c r="M30" s="22">
        <f>M24</f>
        <v/>
      </c>
      <c r="N30" s="22">
        <f>N24</f>
        <v/>
      </c>
      <c r="O30" s="22">
        <f>O24</f>
        <v/>
      </c>
      <c r="P30" s="22">
        <f>P24</f>
        <v/>
      </c>
      <c r="Q30" s="22">
        <f>Q24</f>
        <v/>
      </c>
      <c r="R30" s="22">
        <f>R24</f>
        <v/>
      </c>
      <c r="S30" s="22">
        <f>S24</f>
        <v/>
      </c>
      <c r="T30" s="22">
        <f>T24</f>
        <v/>
      </c>
      <c r="U30" s="22">
        <f>U24</f>
        <v/>
      </c>
      <c r="V30" s="22">
        <f>V24</f>
        <v/>
      </c>
      <c r="W30" s="22">
        <f>W24</f>
        <v/>
      </c>
    </row>
    <row r="31">
      <c r="A31" s="7" t="inlineStr">
        <is>
          <t>Impuestos</t>
        </is>
      </c>
      <c r="C31" s="22">
        <f>C25</f>
        <v/>
      </c>
      <c r="D31" s="22">
        <f>D25</f>
        <v/>
      </c>
      <c r="E31" s="22">
        <f>E25</f>
        <v/>
      </c>
      <c r="F31" s="22">
        <f>F25</f>
        <v/>
      </c>
      <c r="G31" s="22">
        <f>G25</f>
        <v/>
      </c>
      <c r="H31" s="22">
        <f>H25</f>
        <v/>
      </c>
      <c r="I31" s="22">
        <f>I25</f>
        <v/>
      </c>
      <c r="J31" s="22">
        <f>J25</f>
        <v/>
      </c>
      <c r="K31" s="22">
        <f>K25</f>
        <v/>
      </c>
      <c r="L31" s="22">
        <f>L25</f>
        <v/>
      </c>
      <c r="M31" s="22">
        <f>M25</f>
        <v/>
      </c>
      <c r="N31" s="22">
        <f>N25</f>
        <v/>
      </c>
      <c r="O31" s="22">
        <f>O25</f>
        <v/>
      </c>
      <c r="P31" s="22">
        <f>P25</f>
        <v/>
      </c>
      <c r="Q31" s="22">
        <f>Q25</f>
        <v/>
      </c>
      <c r="R31" s="22">
        <f>R25</f>
        <v/>
      </c>
      <c r="S31" s="22">
        <f>S25</f>
        <v/>
      </c>
      <c r="T31" s="22">
        <f>T25</f>
        <v/>
      </c>
      <c r="U31" s="22">
        <f>U25</f>
        <v/>
      </c>
      <c r="V31" s="22">
        <f>V25</f>
        <v/>
      </c>
      <c r="W31" s="22">
        <f>W25</f>
        <v/>
      </c>
    </row>
    <row r="32">
      <c r="A32" s="7" t="inlineStr">
        <is>
          <t>Reposiciones</t>
        </is>
      </c>
      <c r="C32" s="22">
        <f>C26</f>
        <v/>
      </c>
      <c r="D32" s="22">
        <f>D26</f>
        <v/>
      </c>
      <c r="E32" s="22">
        <f>E26</f>
        <v/>
      </c>
      <c r="F32" s="22">
        <f>F26</f>
        <v/>
      </c>
      <c r="G32" s="22">
        <f>G26</f>
        <v/>
      </c>
      <c r="H32" s="22">
        <f>H26</f>
        <v/>
      </c>
      <c r="I32" s="22">
        <f>I26</f>
        <v/>
      </c>
      <c r="J32" s="22">
        <f>J26</f>
        <v/>
      </c>
      <c r="K32" s="22">
        <f>K26</f>
        <v/>
      </c>
      <c r="L32" s="22">
        <f>L26</f>
        <v/>
      </c>
      <c r="M32" s="22">
        <f>M26</f>
        <v/>
      </c>
      <c r="N32" s="22">
        <f>N26</f>
        <v/>
      </c>
      <c r="O32" s="22">
        <f>O26</f>
        <v/>
      </c>
      <c r="P32" s="22">
        <f>P26</f>
        <v/>
      </c>
      <c r="Q32" s="22">
        <f>Q26</f>
        <v/>
      </c>
      <c r="R32" s="22">
        <f>R26</f>
        <v/>
      </c>
      <c r="S32" s="22">
        <f>S26</f>
        <v/>
      </c>
      <c r="T32" s="22">
        <f>T26</f>
        <v/>
      </c>
      <c r="U32" s="22">
        <f>U26</f>
        <v/>
      </c>
      <c r="V32" s="22">
        <f>V26</f>
        <v/>
      </c>
      <c r="W32" s="22">
        <f>W26</f>
        <v/>
      </c>
    </row>
    <row r="33">
      <c r="A33" s="7" t="inlineStr">
        <is>
          <t>Valor residual (año 20)</t>
        </is>
      </c>
      <c r="C33" s="22">
        <f>C27</f>
        <v/>
      </c>
      <c r="D33" s="22">
        <f>D27</f>
        <v/>
      </c>
      <c r="E33" s="22">
        <f>E27</f>
        <v/>
      </c>
      <c r="F33" s="22">
        <f>F27</f>
        <v/>
      </c>
      <c r="G33" s="22">
        <f>G27</f>
        <v/>
      </c>
      <c r="H33" s="22">
        <f>H27</f>
        <v/>
      </c>
      <c r="I33" s="22">
        <f>I27</f>
        <v/>
      </c>
      <c r="J33" s="22">
        <f>J27</f>
        <v/>
      </c>
      <c r="K33" s="22">
        <f>K27</f>
        <v/>
      </c>
      <c r="L33" s="22">
        <f>L27</f>
        <v/>
      </c>
      <c r="M33" s="22">
        <f>M27</f>
        <v/>
      </c>
      <c r="N33" s="22">
        <f>N27</f>
        <v/>
      </c>
      <c r="O33" s="22">
        <f>O27</f>
        <v/>
      </c>
      <c r="P33" s="22">
        <f>P27</f>
        <v/>
      </c>
      <c r="Q33" s="22">
        <f>Q27</f>
        <v/>
      </c>
      <c r="R33" s="22">
        <f>R27</f>
        <v/>
      </c>
      <c r="S33" s="22">
        <f>S27</f>
        <v/>
      </c>
      <c r="T33" s="22">
        <f>T27</f>
        <v/>
      </c>
      <c r="U33" s="22">
        <f>U27</f>
        <v/>
      </c>
      <c r="V33" s="22">
        <f>V27</f>
        <v/>
      </c>
      <c r="W33" s="22">
        <f>W27</f>
        <v/>
      </c>
    </row>
    <row r="34">
      <c r="A34" s="7" t="inlineStr">
        <is>
          <t>FLUJO NETO</t>
        </is>
      </c>
      <c r="C34" s="8">
        <f>C28+C29+C30+C31+C32+C33</f>
        <v/>
      </c>
      <c r="D34" s="8">
        <f>D28+D29+D30+D31+D32+D33</f>
        <v/>
      </c>
      <c r="E34" s="8">
        <f>E28+E29+E30+E31+E32+E33</f>
        <v/>
      </c>
      <c r="F34" s="8">
        <f>F28+F29+F30+F31+F32+F33</f>
        <v/>
      </c>
      <c r="G34" s="8">
        <f>G28+G29+G30+G31+G32+G33</f>
        <v/>
      </c>
      <c r="H34" s="8">
        <f>H28+H29+H30+H31+H32+H33</f>
        <v/>
      </c>
      <c r="I34" s="8">
        <f>I28+I29+I30+I31+I32+I33</f>
        <v/>
      </c>
      <c r="J34" s="8">
        <f>J28+J29+J30+J31+J32+J33</f>
        <v/>
      </c>
      <c r="K34" s="8">
        <f>K28+K29+K30+K31+K32+K33</f>
        <v/>
      </c>
      <c r="L34" s="8">
        <f>L28+L29+L30+L31+L32+L33</f>
        <v/>
      </c>
      <c r="M34" s="8">
        <f>M28+M29+M30+M31+M32+M33</f>
        <v/>
      </c>
      <c r="N34" s="8">
        <f>N28+N29+N30+N31+N32+N33</f>
        <v/>
      </c>
      <c r="O34" s="8">
        <f>O28+O29+O30+O31+O32+O33</f>
        <v/>
      </c>
      <c r="P34" s="8">
        <f>P28+P29+P30+P31+P32+P33</f>
        <v/>
      </c>
      <c r="Q34" s="8">
        <f>Q28+Q29+Q30+Q31+Q32+Q33</f>
        <v/>
      </c>
      <c r="R34" s="8">
        <f>R28+R29+R30+R31+R32+R33</f>
        <v/>
      </c>
      <c r="S34" s="8">
        <f>S28+S29+S30+S31+S32+S33</f>
        <v/>
      </c>
      <c r="T34" s="8">
        <f>T28+T29+T30+T31+T32+T33</f>
        <v/>
      </c>
      <c r="U34" s="8">
        <f>U28+U29+U30+U31+U32+U33</f>
        <v/>
      </c>
      <c r="V34" s="8">
        <f>V28+V29+V30+V31+V32+V33</f>
        <v/>
      </c>
      <c r="W34" s="8">
        <f>W28+W29+W30+W31+W32+W33</f>
        <v/>
      </c>
    </row>
    <row r="35">
      <c r="A35" s="7" t="inlineStr">
        <is>
          <t>Caja acumulada (sin valor residual)</t>
        </is>
      </c>
      <c r="C35" s="14">
        <f>C34-C33</f>
        <v/>
      </c>
      <c r="D35" s="14">
        <f>C35+D34-D33</f>
        <v/>
      </c>
      <c r="E35" s="14">
        <f>D35+E34-E33</f>
        <v/>
      </c>
      <c r="F35" s="14">
        <f>E35+F34-F33</f>
        <v/>
      </c>
      <c r="G35" s="14">
        <f>F35+G34-G33</f>
        <v/>
      </c>
      <c r="H35" s="14">
        <f>G35+H34-H33</f>
        <v/>
      </c>
      <c r="I35" s="14">
        <f>H35+I34-I33</f>
        <v/>
      </c>
      <c r="J35" s="14">
        <f>I35+J34-J33</f>
        <v/>
      </c>
      <c r="K35" s="14">
        <f>J35+K34-K33</f>
        <v/>
      </c>
      <c r="L35" s="14">
        <f>K35+L34-L33</f>
        <v/>
      </c>
      <c r="M35" s="14">
        <f>L35+M34-M33</f>
        <v/>
      </c>
      <c r="N35" s="14">
        <f>M35+N34-N33</f>
        <v/>
      </c>
      <c r="O35" s="14">
        <f>N35+O34-O33</f>
        <v/>
      </c>
      <c r="P35" s="14">
        <f>O35+P34-P33</f>
        <v/>
      </c>
      <c r="Q35" s="14">
        <f>P35+Q34-Q33</f>
        <v/>
      </c>
      <c r="R35" s="14">
        <f>Q35+R34-R33</f>
        <v/>
      </c>
      <c r="S35" s="14">
        <f>R35+S34-S33</f>
        <v/>
      </c>
      <c r="T35" s="14">
        <f>S35+T34-T33</f>
        <v/>
      </c>
      <c r="U35" s="14">
        <f>T35+U34-U33</f>
        <v/>
      </c>
      <c r="V35" s="14">
        <f>U35+V34-V33</f>
        <v/>
      </c>
      <c r="W35" s="14">
        <f>V35+W34-W33</f>
        <v/>
      </c>
    </row>
    <row r="36">
      <c r="A36" s="7" t="inlineStr">
        <is>
          <t>Flujo del propietario contando el terreno (lo aporta hoy y lo recupera valorizado)</t>
        </is>
      </c>
      <c r="C36" s="14">
        <f>C34-Supuestos!$B$21</f>
        <v/>
      </c>
      <c r="D36" s="14">
        <f>D34</f>
        <v/>
      </c>
      <c r="E36" s="14">
        <f>E34</f>
        <v/>
      </c>
      <c r="F36" s="14">
        <f>F34</f>
        <v/>
      </c>
      <c r="G36" s="14">
        <f>G34</f>
        <v/>
      </c>
      <c r="H36" s="14">
        <f>H34</f>
        <v/>
      </c>
      <c r="I36" s="14">
        <f>I34</f>
        <v/>
      </c>
      <c r="J36" s="14">
        <f>J34</f>
        <v/>
      </c>
      <c r="K36" s="14">
        <f>K34</f>
        <v/>
      </c>
      <c r="L36" s="14">
        <f>L34</f>
        <v/>
      </c>
      <c r="M36" s="14">
        <f>M34</f>
        <v/>
      </c>
      <c r="N36" s="14">
        <f>N34</f>
        <v/>
      </c>
      <c r="O36" s="14">
        <f>O34</f>
        <v/>
      </c>
      <c r="P36" s="14">
        <f>P34</f>
        <v/>
      </c>
      <c r="Q36" s="14">
        <f>Q34</f>
        <v/>
      </c>
      <c r="R36" s="14">
        <f>R34</f>
        <v/>
      </c>
      <c r="S36" s="14">
        <f>S34</f>
        <v/>
      </c>
      <c r="T36" s="14">
        <f>T34</f>
        <v/>
      </c>
      <c r="U36" s="14">
        <f>U34</f>
        <v/>
      </c>
      <c r="V36" s="14">
        <f>V34</f>
        <v/>
      </c>
      <c r="W36" s="14">
        <f>W34+Supuestos!$B$21*(1+Supuestos!$B$23)^20</f>
        <v/>
      </c>
    </row>
    <row r="38">
      <c r="A38" s="7" t="inlineStr">
        <is>
          <t>Inversión total</t>
        </is>
      </c>
      <c r="C38" s="8">
        <f>-SUM(C28:W28)</f>
        <v/>
      </c>
    </row>
    <row r="39">
      <c r="A39" s="7" t="inlineStr">
        <is>
          <t>VAN al 10%</t>
        </is>
      </c>
      <c r="C39" s="8">
        <f>C34+NPV(Supuestos!$B$4,D34:W34)</f>
        <v/>
      </c>
    </row>
    <row r="40">
      <c r="A40" s="7" t="inlineStr">
        <is>
          <t>TIR</t>
        </is>
      </c>
      <c r="C40" s="23">
        <f>IFERROR(IRR(C34:W34),IFERROR(IRR(C34:W34,-0.05),"no aplica"))</f>
        <v/>
      </c>
    </row>
    <row r="41">
      <c r="A41" s="7" t="inlineStr">
        <is>
          <t>Año en que se recupera la inversión (acumulado ≥ 0)</t>
        </is>
      </c>
      <c r="C41" s="24">
        <f>IF(-SUM(C28:W28)=0,"sin inversión",IFERROR(INDEX(C21:W21,MATCH(TRUE,INDEX(C35:W35&gt;=0,0),0)),"no en 20 años"))</f>
        <v/>
      </c>
    </row>
    <row r="42">
      <c r="A42" s="7" t="inlineStr">
        <is>
          <t>Caja neta del año 5 sin inversiones (S/ nominales)</t>
        </is>
      </c>
      <c r="C42" s="8">
        <f>H34-H28</f>
        <v/>
      </c>
    </row>
    <row r="43">
      <c r="A43" s="7" t="inlineStr">
        <is>
          <t>TIR contando el terreno</t>
        </is>
      </c>
      <c r="C43" s="23">
        <f>IFERROR(IRR(C36:W36),"no aplica")</f>
        <v/>
      </c>
    </row>
  </sheetData>
  <mergeCells count="1">
    <mergeCell ref="A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J. Arrendar el lote completo a un operador</t>
        </is>
      </c>
    </row>
    <row r="2" ht="30" customHeight="1">
      <c r="A2" s="17" t="inlineStr">
        <is>
          <t>Contrato de 3-10 años con reajuste anual y garantía (depósito de materiales, concesionario o taller de motos, paradero, feria); el inquilino hace sus mejoras.</t>
        </is>
      </c>
    </row>
    <row r="4">
      <c r="A4" s="18" t="inlineStr">
        <is>
          <t>Fase 1: Arriendo del lote</t>
        </is>
      </c>
    </row>
    <row r="5">
      <c r="D5" t="inlineStr">
        <is>
          <t>Inversión (calculada en su propio modelo, por factor de escenario)</t>
        </is>
      </c>
      <c r="E5" s="8">
        <f>0.0*Supuestos!$B$22</f>
        <v/>
      </c>
    </row>
    <row r="6">
      <c r="D6" t="inlineStr">
        <is>
          <t>Año de inversión (opera desde el año siguiente)</t>
        </is>
      </c>
      <c r="E6" s="19" t="n">
        <v>0</v>
      </c>
    </row>
    <row r="7">
      <c r="D7" t="inlineStr">
        <is>
          <t>Ingreso bruto potencial S/ por mes - pesimista</t>
        </is>
      </c>
      <c r="E7" s="6" t="n">
        <v>600</v>
      </c>
    </row>
    <row r="8">
      <c r="D8" t="inlineStr">
        <is>
          <t>Ingreso bruto potencial S/ por mes - base</t>
        </is>
      </c>
      <c r="E8" s="6" t="n">
        <v>1000</v>
      </c>
    </row>
    <row r="9">
      <c r="D9" t="inlineStr">
        <is>
          <t>Ingreso bruto potencial S/ por mes - optimista</t>
        </is>
      </c>
      <c r="E9" s="6" t="n">
        <v>1800</v>
      </c>
    </row>
    <row r="10">
      <c r="D10" t="inlineStr">
        <is>
          <t>Ocupación cobrada - pesimista</t>
        </is>
      </c>
      <c r="E10" s="3" t="n">
        <v>0.6</v>
      </c>
    </row>
    <row r="11">
      <c r="D11" t="inlineStr">
        <is>
          <t>Ocupación cobrada - base</t>
        </is>
      </c>
      <c r="E11" s="3" t="n">
        <v>0.75</v>
      </c>
    </row>
    <row r="12">
      <c r="D12" t="inlineStr">
        <is>
          <t>Ocupación cobrada - optimista</t>
        </is>
      </c>
      <c r="E12" s="3" t="n">
        <v>0.9</v>
      </c>
    </row>
    <row r="13">
      <c r="D13" t="inlineStr">
        <is>
          <t>Gastos fijos S/ por año (personal, energía, mantenimiento, seguro, predial)</t>
        </is>
      </c>
      <c r="E13" s="6" t="n">
        <v>400</v>
      </c>
    </row>
    <row r="14">
      <c r="D14" t="inlineStr">
        <is>
          <t>Gastos variables (% del ingreso cobrado)</t>
        </is>
      </c>
      <c r="E14" s="3" t="n">
        <v>0</v>
      </c>
    </row>
    <row r="15">
      <c r="D15" t="inlineStr">
        <is>
          <t>Impuestos (% del ingreso cobrado)</t>
        </is>
      </c>
      <c r="E15" s="3" t="n">
        <v>0.05</v>
      </c>
    </row>
    <row r="16">
      <c r="D16" t="inlineStr">
        <is>
          <t>Ingreso relativo 1.er año de operación</t>
        </is>
      </c>
      <c r="E16" s="3" t="n">
        <v>0.5</v>
      </c>
    </row>
    <row r="17">
      <c r="D17" t="inlineStr">
        <is>
          <t>Ingreso relativo 2.º año de operación</t>
        </is>
      </c>
      <c r="E17" s="3" t="n">
        <v>1</v>
      </c>
    </row>
    <row r="18">
      <c r="D18" t="inlineStr">
        <is>
          <t>Vida útil para valor residual (años)</t>
        </is>
      </c>
      <c r="E18" s="19" t="n">
        <v>1</v>
      </c>
    </row>
    <row r="20">
      <c r="A20" s="7" t="inlineStr">
        <is>
          <t>FLUJO DE CAJA (S/ nominales)</t>
        </is>
      </c>
    </row>
    <row r="21">
      <c r="A21" s="20" t="inlineStr">
        <is>
          <t>Concepto / año</t>
        </is>
      </c>
      <c r="C21" s="20" t="n">
        <v>0</v>
      </c>
      <c r="D21" s="20" t="n">
        <v>1</v>
      </c>
      <c r="E21" s="20" t="n">
        <v>2</v>
      </c>
      <c r="F21" s="20" t="n">
        <v>3</v>
      </c>
      <c r="G21" s="20" t="n">
        <v>4</v>
      </c>
      <c r="H21" s="20" t="n">
        <v>5</v>
      </c>
      <c r="I21" s="20" t="n">
        <v>6</v>
      </c>
      <c r="J21" s="20" t="n">
        <v>7</v>
      </c>
      <c r="K21" s="20" t="n">
        <v>8</v>
      </c>
      <c r="L21" s="20" t="n">
        <v>9</v>
      </c>
      <c r="M21" s="20" t="n">
        <v>10</v>
      </c>
      <c r="N21" s="20" t="n">
        <v>11</v>
      </c>
      <c r="O21" s="20" t="n">
        <v>12</v>
      </c>
      <c r="P21" s="20" t="n">
        <v>13</v>
      </c>
      <c r="Q21" s="20" t="n">
        <v>14</v>
      </c>
      <c r="R21" s="20" t="n">
        <v>15</v>
      </c>
      <c r="S21" s="20" t="n">
        <v>16</v>
      </c>
      <c r="T21" s="20" t="n">
        <v>17</v>
      </c>
      <c r="U21" s="20" t="n">
        <v>18</v>
      </c>
      <c r="V21" s="20" t="n">
        <v>19</v>
      </c>
      <c r="W21" s="20" t="n">
        <v>20</v>
      </c>
    </row>
    <row r="22">
      <c r="A22" s="21" t="inlineStr">
        <is>
          <t xml:space="preserve">  Inversión - fase 1</t>
        </is>
      </c>
      <c r="C22" s="14">
        <f>IF(C$21=$E$6,-$E$5*(1+Supuestos!$B$5)^MAX($E$6-1,0),0)</f>
        <v/>
      </c>
      <c r="D22" s="14">
        <f>IF(D$21=$E$6,-$E$5*(1+Supuestos!$B$5)^MAX($E$6-1,0),0)</f>
        <v/>
      </c>
      <c r="E22" s="14">
        <f>IF(E$21=$E$6,-$E$5*(1+Supuestos!$B$5)^MAX($E$6-1,0),0)</f>
        <v/>
      </c>
      <c r="F22" s="14">
        <f>IF(F$21=$E$6,-$E$5*(1+Supuestos!$B$5)^MAX($E$6-1,0),0)</f>
        <v/>
      </c>
      <c r="G22" s="14">
        <f>IF(G$21=$E$6,-$E$5*(1+Supuestos!$B$5)^MAX($E$6-1,0),0)</f>
        <v/>
      </c>
      <c r="H22" s="14">
        <f>IF(H$21=$E$6,-$E$5*(1+Supuestos!$B$5)^MAX($E$6-1,0),0)</f>
        <v/>
      </c>
      <c r="I22" s="14">
        <f>IF(I$21=$E$6,-$E$5*(1+Supuestos!$B$5)^MAX($E$6-1,0),0)</f>
        <v/>
      </c>
      <c r="J22" s="14">
        <f>IF(J$21=$E$6,-$E$5*(1+Supuestos!$B$5)^MAX($E$6-1,0),0)</f>
        <v/>
      </c>
      <c r="K22" s="14">
        <f>IF(K$21=$E$6,-$E$5*(1+Supuestos!$B$5)^MAX($E$6-1,0),0)</f>
        <v/>
      </c>
      <c r="L22" s="14">
        <f>IF(L$21=$E$6,-$E$5*(1+Supuestos!$B$5)^MAX($E$6-1,0),0)</f>
        <v/>
      </c>
      <c r="M22" s="14">
        <f>IF(M$21=$E$6,-$E$5*(1+Supuestos!$B$5)^MAX($E$6-1,0),0)</f>
        <v/>
      </c>
      <c r="N22" s="14">
        <f>IF(N$21=$E$6,-$E$5*(1+Supuestos!$B$5)^MAX($E$6-1,0),0)</f>
        <v/>
      </c>
      <c r="O22" s="14">
        <f>IF(O$21=$E$6,-$E$5*(1+Supuestos!$B$5)^MAX($E$6-1,0),0)</f>
        <v/>
      </c>
      <c r="P22" s="14">
        <f>IF(P$21=$E$6,-$E$5*(1+Supuestos!$B$5)^MAX($E$6-1,0),0)</f>
        <v/>
      </c>
      <c r="Q22" s="14">
        <f>IF(Q$21=$E$6,-$E$5*(1+Supuestos!$B$5)^MAX($E$6-1,0),0)</f>
        <v/>
      </c>
      <c r="R22" s="14">
        <f>IF(R$21=$E$6,-$E$5*(1+Supuestos!$B$5)^MAX($E$6-1,0),0)</f>
        <v/>
      </c>
      <c r="S22" s="14">
        <f>IF(S$21=$E$6,-$E$5*(1+Supuestos!$B$5)^MAX($E$6-1,0),0)</f>
        <v/>
      </c>
      <c r="T22" s="14">
        <f>IF(T$21=$E$6,-$E$5*(1+Supuestos!$B$5)^MAX($E$6-1,0),0)</f>
        <v/>
      </c>
      <c r="U22" s="14">
        <f>IF(U$21=$E$6,-$E$5*(1+Supuestos!$B$5)^MAX($E$6-1,0),0)</f>
        <v/>
      </c>
      <c r="V22" s="14">
        <f>IF(V$21=$E$6,-$E$5*(1+Supuestos!$B$5)^MAX($E$6-1,0),0)</f>
        <v/>
      </c>
      <c r="W22" s="14">
        <f>IF(W$21=$E$6,-$E$5*(1+Supuestos!$B$5)^MAX($E$6-1,0),0)</f>
        <v/>
      </c>
    </row>
    <row r="23">
      <c r="A23" s="21" t="inlineStr">
        <is>
          <t xml:space="preserve">  Ingresos cobrados - fase 1</t>
        </is>
      </c>
      <c r="C23" s="14">
        <f>IF((C$21-$E$6)&gt;=1,CHOOSE(Supuestos!$B$3,$E$7,$E$8,$E$9)*12*CHOOSE(Supuestos!$B$3,$E$10,$E$11,$E$12)*IF((C$21-$E$6)=1,$E$16,IF((C$21-$E$6)=2,$E$17,1))*(1+Supuestos!$B$5)^MAX(C$21-1,0),0)</f>
        <v/>
      </c>
      <c r="D23" s="14">
        <f>IF((D$21-$E$6)&gt;=1,CHOOSE(Supuestos!$B$3,$E$7,$E$8,$E$9)*12*CHOOSE(Supuestos!$B$3,$E$10,$E$11,$E$12)*IF((D$21-$E$6)=1,$E$16,IF((D$21-$E$6)=2,$E$17,1))*(1+Supuestos!$B$5)^MAX(D$21-1,0),0)</f>
        <v/>
      </c>
      <c r="E23" s="14">
        <f>IF((E$21-$E$6)&gt;=1,CHOOSE(Supuestos!$B$3,$E$7,$E$8,$E$9)*12*CHOOSE(Supuestos!$B$3,$E$10,$E$11,$E$12)*IF((E$21-$E$6)=1,$E$16,IF((E$21-$E$6)=2,$E$17,1))*(1+Supuestos!$B$5)^MAX(E$21-1,0),0)</f>
        <v/>
      </c>
      <c r="F23" s="14">
        <f>IF((F$21-$E$6)&gt;=1,CHOOSE(Supuestos!$B$3,$E$7,$E$8,$E$9)*12*CHOOSE(Supuestos!$B$3,$E$10,$E$11,$E$12)*IF((F$21-$E$6)=1,$E$16,IF((F$21-$E$6)=2,$E$17,1))*(1+Supuestos!$B$5)^MAX(F$21-1,0),0)</f>
        <v/>
      </c>
      <c r="G23" s="14">
        <f>IF((G$21-$E$6)&gt;=1,CHOOSE(Supuestos!$B$3,$E$7,$E$8,$E$9)*12*CHOOSE(Supuestos!$B$3,$E$10,$E$11,$E$12)*IF((G$21-$E$6)=1,$E$16,IF((G$21-$E$6)=2,$E$17,1))*(1+Supuestos!$B$5)^MAX(G$21-1,0),0)</f>
        <v/>
      </c>
      <c r="H23" s="14">
        <f>IF((H$21-$E$6)&gt;=1,CHOOSE(Supuestos!$B$3,$E$7,$E$8,$E$9)*12*CHOOSE(Supuestos!$B$3,$E$10,$E$11,$E$12)*IF((H$21-$E$6)=1,$E$16,IF((H$21-$E$6)=2,$E$17,1))*(1+Supuestos!$B$5)^MAX(H$21-1,0),0)</f>
        <v/>
      </c>
      <c r="I23" s="14">
        <f>IF((I$21-$E$6)&gt;=1,CHOOSE(Supuestos!$B$3,$E$7,$E$8,$E$9)*12*CHOOSE(Supuestos!$B$3,$E$10,$E$11,$E$12)*IF((I$21-$E$6)=1,$E$16,IF((I$21-$E$6)=2,$E$17,1))*(1+Supuestos!$B$5)^MAX(I$21-1,0),0)</f>
        <v/>
      </c>
      <c r="J23" s="14">
        <f>IF((J$21-$E$6)&gt;=1,CHOOSE(Supuestos!$B$3,$E$7,$E$8,$E$9)*12*CHOOSE(Supuestos!$B$3,$E$10,$E$11,$E$12)*IF((J$21-$E$6)=1,$E$16,IF((J$21-$E$6)=2,$E$17,1))*(1+Supuestos!$B$5)^MAX(J$21-1,0),0)</f>
        <v/>
      </c>
      <c r="K23" s="14">
        <f>IF((K$21-$E$6)&gt;=1,CHOOSE(Supuestos!$B$3,$E$7,$E$8,$E$9)*12*CHOOSE(Supuestos!$B$3,$E$10,$E$11,$E$12)*IF((K$21-$E$6)=1,$E$16,IF((K$21-$E$6)=2,$E$17,1))*(1+Supuestos!$B$5)^MAX(K$21-1,0),0)</f>
        <v/>
      </c>
      <c r="L23" s="14">
        <f>IF((L$21-$E$6)&gt;=1,CHOOSE(Supuestos!$B$3,$E$7,$E$8,$E$9)*12*CHOOSE(Supuestos!$B$3,$E$10,$E$11,$E$12)*IF((L$21-$E$6)=1,$E$16,IF((L$21-$E$6)=2,$E$17,1))*(1+Supuestos!$B$5)^MAX(L$21-1,0),0)</f>
        <v/>
      </c>
      <c r="M23" s="14">
        <f>IF((M$21-$E$6)&gt;=1,CHOOSE(Supuestos!$B$3,$E$7,$E$8,$E$9)*12*CHOOSE(Supuestos!$B$3,$E$10,$E$11,$E$12)*IF((M$21-$E$6)=1,$E$16,IF((M$21-$E$6)=2,$E$17,1))*(1+Supuestos!$B$5)^MAX(M$21-1,0),0)</f>
        <v/>
      </c>
      <c r="N23" s="14">
        <f>IF((N$21-$E$6)&gt;=1,CHOOSE(Supuestos!$B$3,$E$7,$E$8,$E$9)*12*CHOOSE(Supuestos!$B$3,$E$10,$E$11,$E$12)*IF((N$21-$E$6)=1,$E$16,IF((N$21-$E$6)=2,$E$17,1))*(1+Supuestos!$B$5)^MAX(N$21-1,0),0)</f>
        <v/>
      </c>
      <c r="O23" s="14">
        <f>IF((O$21-$E$6)&gt;=1,CHOOSE(Supuestos!$B$3,$E$7,$E$8,$E$9)*12*CHOOSE(Supuestos!$B$3,$E$10,$E$11,$E$12)*IF((O$21-$E$6)=1,$E$16,IF((O$21-$E$6)=2,$E$17,1))*(1+Supuestos!$B$5)^MAX(O$21-1,0),0)</f>
        <v/>
      </c>
      <c r="P23" s="14">
        <f>IF((P$21-$E$6)&gt;=1,CHOOSE(Supuestos!$B$3,$E$7,$E$8,$E$9)*12*CHOOSE(Supuestos!$B$3,$E$10,$E$11,$E$12)*IF((P$21-$E$6)=1,$E$16,IF((P$21-$E$6)=2,$E$17,1))*(1+Supuestos!$B$5)^MAX(P$21-1,0),0)</f>
        <v/>
      </c>
      <c r="Q23" s="14">
        <f>IF((Q$21-$E$6)&gt;=1,CHOOSE(Supuestos!$B$3,$E$7,$E$8,$E$9)*12*CHOOSE(Supuestos!$B$3,$E$10,$E$11,$E$12)*IF((Q$21-$E$6)=1,$E$16,IF((Q$21-$E$6)=2,$E$17,1))*(1+Supuestos!$B$5)^MAX(Q$21-1,0),0)</f>
        <v/>
      </c>
      <c r="R23" s="14">
        <f>IF((R$21-$E$6)&gt;=1,CHOOSE(Supuestos!$B$3,$E$7,$E$8,$E$9)*12*CHOOSE(Supuestos!$B$3,$E$10,$E$11,$E$12)*IF((R$21-$E$6)=1,$E$16,IF((R$21-$E$6)=2,$E$17,1))*(1+Supuestos!$B$5)^MAX(R$21-1,0),0)</f>
        <v/>
      </c>
      <c r="S23" s="14">
        <f>IF((S$21-$E$6)&gt;=1,CHOOSE(Supuestos!$B$3,$E$7,$E$8,$E$9)*12*CHOOSE(Supuestos!$B$3,$E$10,$E$11,$E$12)*IF((S$21-$E$6)=1,$E$16,IF((S$21-$E$6)=2,$E$17,1))*(1+Supuestos!$B$5)^MAX(S$21-1,0),0)</f>
        <v/>
      </c>
      <c r="T23" s="14">
        <f>IF((T$21-$E$6)&gt;=1,CHOOSE(Supuestos!$B$3,$E$7,$E$8,$E$9)*12*CHOOSE(Supuestos!$B$3,$E$10,$E$11,$E$12)*IF((T$21-$E$6)=1,$E$16,IF((T$21-$E$6)=2,$E$17,1))*(1+Supuestos!$B$5)^MAX(T$21-1,0),0)</f>
        <v/>
      </c>
      <c r="U23" s="14">
        <f>IF((U$21-$E$6)&gt;=1,CHOOSE(Supuestos!$B$3,$E$7,$E$8,$E$9)*12*CHOOSE(Supuestos!$B$3,$E$10,$E$11,$E$12)*IF((U$21-$E$6)=1,$E$16,IF((U$21-$E$6)=2,$E$17,1))*(1+Supuestos!$B$5)^MAX(U$21-1,0),0)</f>
        <v/>
      </c>
      <c r="V23" s="14">
        <f>IF((V$21-$E$6)&gt;=1,CHOOSE(Supuestos!$B$3,$E$7,$E$8,$E$9)*12*CHOOSE(Supuestos!$B$3,$E$10,$E$11,$E$12)*IF((V$21-$E$6)=1,$E$16,IF((V$21-$E$6)=2,$E$17,1))*(1+Supuestos!$B$5)^MAX(V$21-1,0),0)</f>
        <v/>
      </c>
      <c r="W23" s="14">
        <f>IF((W$21-$E$6)&gt;=1,CHOOSE(Supuestos!$B$3,$E$7,$E$8,$E$9)*12*CHOOSE(Supuestos!$B$3,$E$10,$E$11,$E$12)*IF((W$21-$E$6)=1,$E$16,IF((W$21-$E$6)=2,$E$17,1))*(1+Supuestos!$B$5)^MAX(W$21-1,0),0)</f>
        <v/>
      </c>
    </row>
    <row r="24">
      <c r="A24" s="21" t="inlineStr">
        <is>
          <t xml:space="preserve">  Gastos - fase 1</t>
        </is>
      </c>
      <c r="C24" s="14">
        <f>IF((C$21-$E$6)&gt;=1,-$E$13*(1+Supuestos!$B$5)^MAX(C$21-1,0)-$E$14*C23,0)</f>
        <v/>
      </c>
      <c r="D24" s="14">
        <f>IF((D$21-$E$6)&gt;=1,-$E$13*(1+Supuestos!$B$5)^MAX(D$21-1,0)-$E$14*D23,0)</f>
        <v/>
      </c>
      <c r="E24" s="14">
        <f>IF((E$21-$E$6)&gt;=1,-$E$13*(1+Supuestos!$B$5)^MAX(E$21-1,0)-$E$14*E23,0)</f>
        <v/>
      </c>
      <c r="F24" s="14">
        <f>IF((F$21-$E$6)&gt;=1,-$E$13*(1+Supuestos!$B$5)^MAX(F$21-1,0)-$E$14*F23,0)</f>
        <v/>
      </c>
      <c r="G24" s="14">
        <f>IF((G$21-$E$6)&gt;=1,-$E$13*(1+Supuestos!$B$5)^MAX(G$21-1,0)-$E$14*G23,0)</f>
        <v/>
      </c>
      <c r="H24" s="14">
        <f>IF((H$21-$E$6)&gt;=1,-$E$13*(1+Supuestos!$B$5)^MAX(H$21-1,0)-$E$14*H23,0)</f>
        <v/>
      </c>
      <c r="I24" s="14">
        <f>IF((I$21-$E$6)&gt;=1,-$E$13*(1+Supuestos!$B$5)^MAX(I$21-1,0)-$E$14*I23,0)</f>
        <v/>
      </c>
      <c r="J24" s="14">
        <f>IF((J$21-$E$6)&gt;=1,-$E$13*(1+Supuestos!$B$5)^MAX(J$21-1,0)-$E$14*J23,0)</f>
        <v/>
      </c>
      <c r="K24" s="14">
        <f>IF((K$21-$E$6)&gt;=1,-$E$13*(1+Supuestos!$B$5)^MAX(K$21-1,0)-$E$14*K23,0)</f>
        <v/>
      </c>
      <c r="L24" s="14">
        <f>IF((L$21-$E$6)&gt;=1,-$E$13*(1+Supuestos!$B$5)^MAX(L$21-1,0)-$E$14*L23,0)</f>
        <v/>
      </c>
      <c r="M24" s="14">
        <f>IF((M$21-$E$6)&gt;=1,-$E$13*(1+Supuestos!$B$5)^MAX(M$21-1,0)-$E$14*M23,0)</f>
        <v/>
      </c>
      <c r="N24" s="14">
        <f>IF((N$21-$E$6)&gt;=1,-$E$13*(1+Supuestos!$B$5)^MAX(N$21-1,0)-$E$14*N23,0)</f>
        <v/>
      </c>
      <c r="O24" s="14">
        <f>IF((O$21-$E$6)&gt;=1,-$E$13*(1+Supuestos!$B$5)^MAX(O$21-1,0)-$E$14*O23,0)</f>
        <v/>
      </c>
      <c r="P24" s="14">
        <f>IF((P$21-$E$6)&gt;=1,-$E$13*(1+Supuestos!$B$5)^MAX(P$21-1,0)-$E$14*P23,0)</f>
        <v/>
      </c>
      <c r="Q24" s="14">
        <f>IF((Q$21-$E$6)&gt;=1,-$E$13*(1+Supuestos!$B$5)^MAX(Q$21-1,0)-$E$14*Q23,0)</f>
        <v/>
      </c>
      <c r="R24" s="14">
        <f>IF((R$21-$E$6)&gt;=1,-$E$13*(1+Supuestos!$B$5)^MAX(R$21-1,0)-$E$14*R23,0)</f>
        <v/>
      </c>
      <c r="S24" s="14">
        <f>IF((S$21-$E$6)&gt;=1,-$E$13*(1+Supuestos!$B$5)^MAX(S$21-1,0)-$E$14*S23,0)</f>
        <v/>
      </c>
      <c r="T24" s="14">
        <f>IF((T$21-$E$6)&gt;=1,-$E$13*(1+Supuestos!$B$5)^MAX(T$21-1,0)-$E$14*T23,0)</f>
        <v/>
      </c>
      <c r="U24" s="14">
        <f>IF((U$21-$E$6)&gt;=1,-$E$13*(1+Supuestos!$B$5)^MAX(U$21-1,0)-$E$14*U23,0)</f>
        <v/>
      </c>
      <c r="V24" s="14">
        <f>IF((V$21-$E$6)&gt;=1,-$E$13*(1+Supuestos!$B$5)^MAX(V$21-1,0)-$E$14*V23,0)</f>
        <v/>
      </c>
      <c r="W24" s="14">
        <f>IF((W$21-$E$6)&gt;=1,-$E$13*(1+Supuestos!$B$5)^MAX(W$21-1,0)-$E$14*W23,0)</f>
        <v/>
      </c>
    </row>
    <row r="25">
      <c r="A25" s="21" t="inlineStr">
        <is>
          <t xml:space="preserve">  Impuestos - fase 1</t>
        </is>
      </c>
      <c r="C25" s="14">
        <f>-$E$15*C23</f>
        <v/>
      </c>
      <c r="D25" s="14">
        <f>-$E$15*D23</f>
        <v/>
      </c>
      <c r="E25" s="14">
        <f>-$E$15*E23</f>
        <v/>
      </c>
      <c r="F25" s="14">
        <f>-$E$15*F23</f>
        <v/>
      </c>
      <c r="G25" s="14">
        <f>-$E$15*G23</f>
        <v/>
      </c>
      <c r="H25" s="14">
        <f>-$E$15*H23</f>
        <v/>
      </c>
      <c r="I25" s="14">
        <f>-$E$15*I23</f>
        <v/>
      </c>
      <c r="J25" s="14">
        <f>-$E$15*J23</f>
        <v/>
      </c>
      <c r="K25" s="14">
        <f>-$E$15*K23</f>
        <v/>
      </c>
      <c r="L25" s="14">
        <f>-$E$15*L23</f>
        <v/>
      </c>
      <c r="M25" s="14">
        <f>-$E$15*M23</f>
        <v/>
      </c>
      <c r="N25" s="14">
        <f>-$E$15*N23</f>
        <v/>
      </c>
      <c r="O25" s="14">
        <f>-$E$15*O23</f>
        <v/>
      </c>
      <c r="P25" s="14">
        <f>-$E$15*P23</f>
        <v/>
      </c>
      <c r="Q25" s="14">
        <f>-$E$15*Q23</f>
        <v/>
      </c>
      <c r="R25" s="14">
        <f>-$E$15*R23</f>
        <v/>
      </c>
      <c r="S25" s="14">
        <f>-$E$15*S23</f>
        <v/>
      </c>
      <c r="T25" s="14">
        <f>-$E$15*T23</f>
        <v/>
      </c>
      <c r="U25" s="14">
        <f>-$E$15*U23</f>
        <v/>
      </c>
      <c r="V25" s="14">
        <f>-$E$15*V23</f>
        <v/>
      </c>
      <c r="W25" s="14">
        <f>-$E$15*W23</f>
        <v/>
      </c>
    </row>
    <row r="26">
      <c r="A26" s="21" t="inlineStr">
        <is>
          <t xml:space="preserve">  Reposiciones - fase 1</t>
        </is>
      </c>
      <c r="C26" s="14">
        <f>0</f>
        <v/>
      </c>
      <c r="D26" s="14">
        <f>0</f>
        <v/>
      </c>
      <c r="E26" s="14">
        <f>0</f>
        <v/>
      </c>
      <c r="F26" s="14">
        <f>0</f>
        <v/>
      </c>
      <c r="G26" s="14">
        <f>0</f>
        <v/>
      </c>
      <c r="H26" s="14">
        <f>0</f>
        <v/>
      </c>
      <c r="I26" s="14">
        <f>0</f>
        <v/>
      </c>
      <c r="J26" s="14">
        <f>0</f>
        <v/>
      </c>
      <c r="K26" s="14">
        <f>0</f>
        <v/>
      </c>
      <c r="L26" s="14">
        <f>0</f>
        <v/>
      </c>
      <c r="M26" s="14">
        <f>0</f>
        <v/>
      </c>
      <c r="N26" s="14">
        <f>0</f>
        <v/>
      </c>
      <c r="O26" s="14">
        <f>0</f>
        <v/>
      </c>
      <c r="P26" s="14">
        <f>0</f>
        <v/>
      </c>
      <c r="Q26" s="14">
        <f>0</f>
        <v/>
      </c>
      <c r="R26" s="14">
        <f>0</f>
        <v/>
      </c>
      <c r="S26" s="14">
        <f>0</f>
        <v/>
      </c>
      <c r="T26" s="14">
        <f>0</f>
        <v/>
      </c>
      <c r="U26" s="14">
        <f>0</f>
        <v/>
      </c>
      <c r="V26" s="14">
        <f>0</f>
        <v/>
      </c>
      <c r="W26" s="14">
        <f>0</f>
        <v/>
      </c>
    </row>
    <row r="27">
      <c r="A27" s="21" t="inlineStr">
        <is>
          <t xml:space="preserve">  Valor residual (año 20) - fase 1</t>
        </is>
      </c>
      <c r="C27" s="14">
        <f>IF(AND(C$21=20,$E$18&gt;1),$E$5*(1+Supuestos!$B$5)^MAX($E$6-1,0)*MAX(0,1-(20-$E$6)/$E$18),0)</f>
        <v/>
      </c>
      <c r="D27" s="14">
        <f>IF(AND(D$21=20,$E$18&gt;1),$E$5*(1+Supuestos!$B$5)^MAX($E$6-1,0)*MAX(0,1-(20-$E$6)/$E$18),0)</f>
        <v/>
      </c>
      <c r="E27" s="14">
        <f>IF(AND(E$21=20,$E$18&gt;1),$E$5*(1+Supuestos!$B$5)^MAX($E$6-1,0)*MAX(0,1-(20-$E$6)/$E$18),0)</f>
        <v/>
      </c>
      <c r="F27" s="14">
        <f>IF(AND(F$21=20,$E$18&gt;1),$E$5*(1+Supuestos!$B$5)^MAX($E$6-1,0)*MAX(0,1-(20-$E$6)/$E$18),0)</f>
        <v/>
      </c>
      <c r="G27" s="14">
        <f>IF(AND(G$21=20,$E$18&gt;1),$E$5*(1+Supuestos!$B$5)^MAX($E$6-1,0)*MAX(0,1-(20-$E$6)/$E$18),0)</f>
        <v/>
      </c>
      <c r="H27" s="14">
        <f>IF(AND(H$21=20,$E$18&gt;1),$E$5*(1+Supuestos!$B$5)^MAX($E$6-1,0)*MAX(0,1-(20-$E$6)/$E$18),0)</f>
        <v/>
      </c>
      <c r="I27" s="14">
        <f>IF(AND(I$21=20,$E$18&gt;1),$E$5*(1+Supuestos!$B$5)^MAX($E$6-1,0)*MAX(0,1-(20-$E$6)/$E$18),0)</f>
        <v/>
      </c>
      <c r="J27" s="14">
        <f>IF(AND(J$21=20,$E$18&gt;1),$E$5*(1+Supuestos!$B$5)^MAX($E$6-1,0)*MAX(0,1-(20-$E$6)/$E$18),0)</f>
        <v/>
      </c>
      <c r="K27" s="14">
        <f>IF(AND(K$21=20,$E$18&gt;1),$E$5*(1+Supuestos!$B$5)^MAX($E$6-1,0)*MAX(0,1-(20-$E$6)/$E$18),0)</f>
        <v/>
      </c>
      <c r="L27" s="14">
        <f>IF(AND(L$21=20,$E$18&gt;1),$E$5*(1+Supuestos!$B$5)^MAX($E$6-1,0)*MAX(0,1-(20-$E$6)/$E$18),0)</f>
        <v/>
      </c>
      <c r="M27" s="14">
        <f>IF(AND(M$21=20,$E$18&gt;1),$E$5*(1+Supuestos!$B$5)^MAX($E$6-1,0)*MAX(0,1-(20-$E$6)/$E$18),0)</f>
        <v/>
      </c>
      <c r="N27" s="14">
        <f>IF(AND(N$21=20,$E$18&gt;1),$E$5*(1+Supuestos!$B$5)^MAX($E$6-1,0)*MAX(0,1-(20-$E$6)/$E$18),0)</f>
        <v/>
      </c>
      <c r="O27" s="14">
        <f>IF(AND(O$21=20,$E$18&gt;1),$E$5*(1+Supuestos!$B$5)^MAX($E$6-1,0)*MAX(0,1-(20-$E$6)/$E$18),0)</f>
        <v/>
      </c>
      <c r="P27" s="14">
        <f>IF(AND(P$21=20,$E$18&gt;1),$E$5*(1+Supuestos!$B$5)^MAX($E$6-1,0)*MAX(0,1-(20-$E$6)/$E$18),0)</f>
        <v/>
      </c>
      <c r="Q27" s="14">
        <f>IF(AND(Q$21=20,$E$18&gt;1),$E$5*(1+Supuestos!$B$5)^MAX($E$6-1,0)*MAX(0,1-(20-$E$6)/$E$18),0)</f>
        <v/>
      </c>
      <c r="R27" s="14">
        <f>IF(AND(R$21=20,$E$18&gt;1),$E$5*(1+Supuestos!$B$5)^MAX($E$6-1,0)*MAX(0,1-(20-$E$6)/$E$18),0)</f>
        <v/>
      </c>
      <c r="S27" s="14">
        <f>IF(AND(S$21=20,$E$18&gt;1),$E$5*(1+Supuestos!$B$5)^MAX($E$6-1,0)*MAX(0,1-(20-$E$6)/$E$18),0)</f>
        <v/>
      </c>
      <c r="T27" s="14">
        <f>IF(AND(T$21=20,$E$18&gt;1),$E$5*(1+Supuestos!$B$5)^MAX($E$6-1,0)*MAX(0,1-(20-$E$6)/$E$18),0)</f>
        <v/>
      </c>
      <c r="U27" s="14">
        <f>IF(AND(U$21=20,$E$18&gt;1),$E$5*(1+Supuestos!$B$5)^MAX($E$6-1,0)*MAX(0,1-(20-$E$6)/$E$18),0)</f>
        <v/>
      </c>
      <c r="V27" s="14">
        <f>IF(AND(V$21=20,$E$18&gt;1),$E$5*(1+Supuestos!$B$5)^MAX($E$6-1,0)*MAX(0,1-(20-$E$6)/$E$18),0)</f>
        <v/>
      </c>
      <c r="W27" s="14">
        <f>IF(AND(W$21=20,$E$18&gt;1),$E$5*(1+Supuestos!$B$5)^MAX($E$6-1,0)*MAX(0,1-(20-$E$6)/$E$18),0)</f>
        <v/>
      </c>
    </row>
    <row r="28">
      <c r="A28" s="7" t="inlineStr">
        <is>
          <t>Inversión</t>
        </is>
      </c>
      <c r="C28" s="22">
        <f>C22</f>
        <v/>
      </c>
      <c r="D28" s="22">
        <f>D22</f>
        <v/>
      </c>
      <c r="E28" s="22">
        <f>E22</f>
        <v/>
      </c>
      <c r="F28" s="22">
        <f>F22</f>
        <v/>
      </c>
      <c r="G28" s="22">
        <f>G22</f>
        <v/>
      </c>
      <c r="H28" s="22">
        <f>H22</f>
        <v/>
      </c>
      <c r="I28" s="22">
        <f>I22</f>
        <v/>
      </c>
      <c r="J28" s="22">
        <f>J22</f>
        <v/>
      </c>
      <c r="K28" s="22">
        <f>K22</f>
        <v/>
      </c>
      <c r="L28" s="22">
        <f>L22</f>
        <v/>
      </c>
      <c r="M28" s="22">
        <f>M22</f>
        <v/>
      </c>
      <c r="N28" s="22">
        <f>N22</f>
        <v/>
      </c>
      <c r="O28" s="22">
        <f>O22</f>
        <v/>
      </c>
      <c r="P28" s="22">
        <f>P22</f>
        <v/>
      </c>
      <c r="Q28" s="22">
        <f>Q22</f>
        <v/>
      </c>
      <c r="R28" s="22">
        <f>R22</f>
        <v/>
      </c>
      <c r="S28" s="22">
        <f>S22</f>
        <v/>
      </c>
      <c r="T28" s="22">
        <f>T22</f>
        <v/>
      </c>
      <c r="U28" s="22">
        <f>U22</f>
        <v/>
      </c>
      <c r="V28" s="22">
        <f>V22</f>
        <v/>
      </c>
      <c r="W28" s="22">
        <f>W22</f>
        <v/>
      </c>
    </row>
    <row r="29">
      <c r="A29" s="7" t="inlineStr">
        <is>
          <t>Ingresos cobrados</t>
        </is>
      </c>
      <c r="C29" s="22">
        <f>C23</f>
        <v/>
      </c>
      <c r="D29" s="22">
        <f>D23</f>
        <v/>
      </c>
      <c r="E29" s="22">
        <f>E23</f>
        <v/>
      </c>
      <c r="F29" s="22">
        <f>F23</f>
        <v/>
      </c>
      <c r="G29" s="22">
        <f>G23</f>
        <v/>
      </c>
      <c r="H29" s="22">
        <f>H23</f>
        <v/>
      </c>
      <c r="I29" s="22">
        <f>I23</f>
        <v/>
      </c>
      <c r="J29" s="22">
        <f>J23</f>
        <v/>
      </c>
      <c r="K29" s="22">
        <f>K23</f>
        <v/>
      </c>
      <c r="L29" s="22">
        <f>L23</f>
        <v/>
      </c>
      <c r="M29" s="22">
        <f>M23</f>
        <v/>
      </c>
      <c r="N29" s="22">
        <f>N23</f>
        <v/>
      </c>
      <c r="O29" s="22">
        <f>O23</f>
        <v/>
      </c>
      <c r="P29" s="22">
        <f>P23</f>
        <v/>
      </c>
      <c r="Q29" s="22">
        <f>Q23</f>
        <v/>
      </c>
      <c r="R29" s="22">
        <f>R23</f>
        <v/>
      </c>
      <c r="S29" s="22">
        <f>S23</f>
        <v/>
      </c>
      <c r="T29" s="22">
        <f>T23</f>
        <v/>
      </c>
      <c r="U29" s="22">
        <f>U23</f>
        <v/>
      </c>
      <c r="V29" s="22">
        <f>V23</f>
        <v/>
      </c>
      <c r="W29" s="22">
        <f>W23</f>
        <v/>
      </c>
    </row>
    <row r="30">
      <c r="A30" s="7" t="inlineStr">
        <is>
          <t>Gastos</t>
        </is>
      </c>
      <c r="C30" s="22">
        <f>C24</f>
        <v/>
      </c>
      <c r="D30" s="22">
        <f>D24</f>
        <v/>
      </c>
      <c r="E30" s="22">
        <f>E24</f>
        <v/>
      </c>
      <c r="F30" s="22">
        <f>F24</f>
        <v/>
      </c>
      <c r="G30" s="22">
        <f>G24</f>
        <v/>
      </c>
      <c r="H30" s="22">
        <f>H24</f>
        <v/>
      </c>
      <c r="I30" s="22">
        <f>I24</f>
        <v/>
      </c>
      <c r="J30" s="22">
        <f>J24</f>
        <v/>
      </c>
      <c r="K30" s="22">
        <f>K24</f>
        <v/>
      </c>
      <c r="L30" s="22">
        <f>L24</f>
        <v/>
      </c>
      <c r="M30" s="22">
        <f>M24</f>
        <v/>
      </c>
      <c r="N30" s="22">
        <f>N24</f>
        <v/>
      </c>
      <c r="O30" s="22">
        <f>O24</f>
        <v/>
      </c>
      <c r="P30" s="22">
        <f>P24</f>
        <v/>
      </c>
      <c r="Q30" s="22">
        <f>Q24</f>
        <v/>
      </c>
      <c r="R30" s="22">
        <f>R24</f>
        <v/>
      </c>
      <c r="S30" s="22">
        <f>S24</f>
        <v/>
      </c>
      <c r="T30" s="22">
        <f>T24</f>
        <v/>
      </c>
      <c r="U30" s="22">
        <f>U24</f>
        <v/>
      </c>
      <c r="V30" s="22">
        <f>V24</f>
        <v/>
      </c>
      <c r="W30" s="22">
        <f>W24</f>
        <v/>
      </c>
    </row>
    <row r="31">
      <c r="A31" s="7" t="inlineStr">
        <is>
          <t>Impuestos</t>
        </is>
      </c>
      <c r="C31" s="22">
        <f>C25</f>
        <v/>
      </c>
      <c r="D31" s="22">
        <f>D25</f>
        <v/>
      </c>
      <c r="E31" s="22">
        <f>E25</f>
        <v/>
      </c>
      <c r="F31" s="22">
        <f>F25</f>
        <v/>
      </c>
      <c r="G31" s="22">
        <f>G25</f>
        <v/>
      </c>
      <c r="H31" s="22">
        <f>H25</f>
        <v/>
      </c>
      <c r="I31" s="22">
        <f>I25</f>
        <v/>
      </c>
      <c r="J31" s="22">
        <f>J25</f>
        <v/>
      </c>
      <c r="K31" s="22">
        <f>K25</f>
        <v/>
      </c>
      <c r="L31" s="22">
        <f>L25</f>
        <v/>
      </c>
      <c r="M31" s="22">
        <f>M25</f>
        <v/>
      </c>
      <c r="N31" s="22">
        <f>N25</f>
        <v/>
      </c>
      <c r="O31" s="22">
        <f>O25</f>
        <v/>
      </c>
      <c r="P31" s="22">
        <f>P25</f>
        <v/>
      </c>
      <c r="Q31" s="22">
        <f>Q25</f>
        <v/>
      </c>
      <c r="R31" s="22">
        <f>R25</f>
        <v/>
      </c>
      <c r="S31" s="22">
        <f>S25</f>
        <v/>
      </c>
      <c r="T31" s="22">
        <f>T25</f>
        <v/>
      </c>
      <c r="U31" s="22">
        <f>U25</f>
        <v/>
      </c>
      <c r="V31" s="22">
        <f>V25</f>
        <v/>
      </c>
      <c r="W31" s="22">
        <f>W25</f>
        <v/>
      </c>
    </row>
    <row r="32">
      <c r="A32" s="7" t="inlineStr">
        <is>
          <t>Reposiciones</t>
        </is>
      </c>
      <c r="C32" s="22">
        <f>C26</f>
        <v/>
      </c>
      <c r="D32" s="22">
        <f>D26</f>
        <v/>
      </c>
      <c r="E32" s="22">
        <f>E26</f>
        <v/>
      </c>
      <c r="F32" s="22">
        <f>F26</f>
        <v/>
      </c>
      <c r="G32" s="22">
        <f>G26</f>
        <v/>
      </c>
      <c r="H32" s="22">
        <f>H26</f>
        <v/>
      </c>
      <c r="I32" s="22">
        <f>I26</f>
        <v/>
      </c>
      <c r="J32" s="22">
        <f>J26</f>
        <v/>
      </c>
      <c r="K32" s="22">
        <f>K26</f>
        <v/>
      </c>
      <c r="L32" s="22">
        <f>L26</f>
        <v/>
      </c>
      <c r="M32" s="22">
        <f>M26</f>
        <v/>
      </c>
      <c r="N32" s="22">
        <f>N26</f>
        <v/>
      </c>
      <c r="O32" s="22">
        <f>O26</f>
        <v/>
      </c>
      <c r="P32" s="22">
        <f>P26</f>
        <v/>
      </c>
      <c r="Q32" s="22">
        <f>Q26</f>
        <v/>
      </c>
      <c r="R32" s="22">
        <f>R26</f>
        <v/>
      </c>
      <c r="S32" s="22">
        <f>S26</f>
        <v/>
      </c>
      <c r="T32" s="22">
        <f>T26</f>
        <v/>
      </c>
      <c r="U32" s="22">
        <f>U26</f>
        <v/>
      </c>
      <c r="V32" s="22">
        <f>V26</f>
        <v/>
      </c>
      <c r="W32" s="22">
        <f>W26</f>
        <v/>
      </c>
    </row>
    <row r="33">
      <c r="A33" s="7" t="inlineStr">
        <is>
          <t>Valor residual (año 20)</t>
        </is>
      </c>
      <c r="C33" s="22">
        <f>C27</f>
        <v/>
      </c>
      <c r="D33" s="22">
        <f>D27</f>
        <v/>
      </c>
      <c r="E33" s="22">
        <f>E27</f>
        <v/>
      </c>
      <c r="F33" s="22">
        <f>F27</f>
        <v/>
      </c>
      <c r="G33" s="22">
        <f>G27</f>
        <v/>
      </c>
      <c r="H33" s="22">
        <f>H27</f>
        <v/>
      </c>
      <c r="I33" s="22">
        <f>I27</f>
        <v/>
      </c>
      <c r="J33" s="22">
        <f>J27</f>
        <v/>
      </c>
      <c r="K33" s="22">
        <f>K27</f>
        <v/>
      </c>
      <c r="L33" s="22">
        <f>L27</f>
        <v/>
      </c>
      <c r="M33" s="22">
        <f>M27</f>
        <v/>
      </c>
      <c r="N33" s="22">
        <f>N27</f>
        <v/>
      </c>
      <c r="O33" s="22">
        <f>O27</f>
        <v/>
      </c>
      <c r="P33" s="22">
        <f>P27</f>
        <v/>
      </c>
      <c r="Q33" s="22">
        <f>Q27</f>
        <v/>
      </c>
      <c r="R33" s="22">
        <f>R27</f>
        <v/>
      </c>
      <c r="S33" s="22">
        <f>S27</f>
        <v/>
      </c>
      <c r="T33" s="22">
        <f>T27</f>
        <v/>
      </c>
      <c r="U33" s="22">
        <f>U27</f>
        <v/>
      </c>
      <c r="V33" s="22">
        <f>V27</f>
        <v/>
      </c>
      <c r="W33" s="22">
        <f>W27</f>
        <v/>
      </c>
    </row>
    <row r="34">
      <c r="A34" s="7" t="inlineStr">
        <is>
          <t>FLUJO NETO</t>
        </is>
      </c>
      <c r="C34" s="8">
        <f>C28+C29+C30+C31+C32+C33</f>
        <v/>
      </c>
      <c r="D34" s="8">
        <f>D28+D29+D30+D31+D32+D33</f>
        <v/>
      </c>
      <c r="E34" s="8">
        <f>E28+E29+E30+E31+E32+E33</f>
        <v/>
      </c>
      <c r="F34" s="8">
        <f>F28+F29+F30+F31+F32+F33</f>
        <v/>
      </c>
      <c r="G34" s="8">
        <f>G28+G29+G30+G31+G32+G33</f>
        <v/>
      </c>
      <c r="H34" s="8">
        <f>H28+H29+H30+H31+H32+H33</f>
        <v/>
      </c>
      <c r="I34" s="8">
        <f>I28+I29+I30+I31+I32+I33</f>
        <v/>
      </c>
      <c r="J34" s="8">
        <f>J28+J29+J30+J31+J32+J33</f>
        <v/>
      </c>
      <c r="K34" s="8">
        <f>K28+K29+K30+K31+K32+K33</f>
        <v/>
      </c>
      <c r="L34" s="8">
        <f>L28+L29+L30+L31+L32+L33</f>
        <v/>
      </c>
      <c r="M34" s="8">
        <f>M28+M29+M30+M31+M32+M33</f>
        <v/>
      </c>
      <c r="N34" s="8">
        <f>N28+N29+N30+N31+N32+N33</f>
        <v/>
      </c>
      <c r="O34" s="8">
        <f>O28+O29+O30+O31+O32+O33</f>
        <v/>
      </c>
      <c r="P34" s="8">
        <f>P28+P29+P30+P31+P32+P33</f>
        <v/>
      </c>
      <c r="Q34" s="8">
        <f>Q28+Q29+Q30+Q31+Q32+Q33</f>
        <v/>
      </c>
      <c r="R34" s="8">
        <f>R28+R29+R30+R31+R32+R33</f>
        <v/>
      </c>
      <c r="S34" s="8">
        <f>S28+S29+S30+S31+S32+S33</f>
        <v/>
      </c>
      <c r="T34" s="8">
        <f>T28+T29+T30+T31+T32+T33</f>
        <v/>
      </c>
      <c r="U34" s="8">
        <f>U28+U29+U30+U31+U32+U33</f>
        <v/>
      </c>
      <c r="V34" s="8">
        <f>V28+V29+V30+V31+V32+V33</f>
        <v/>
      </c>
      <c r="W34" s="8">
        <f>W28+W29+W30+W31+W32+W33</f>
        <v/>
      </c>
    </row>
    <row r="35">
      <c r="A35" s="7" t="inlineStr">
        <is>
          <t>Caja acumulada (sin valor residual)</t>
        </is>
      </c>
      <c r="C35" s="14">
        <f>C34-C33</f>
        <v/>
      </c>
      <c r="D35" s="14">
        <f>C35+D34-D33</f>
        <v/>
      </c>
      <c r="E35" s="14">
        <f>D35+E34-E33</f>
        <v/>
      </c>
      <c r="F35" s="14">
        <f>E35+F34-F33</f>
        <v/>
      </c>
      <c r="G35" s="14">
        <f>F35+G34-G33</f>
        <v/>
      </c>
      <c r="H35" s="14">
        <f>G35+H34-H33</f>
        <v/>
      </c>
      <c r="I35" s="14">
        <f>H35+I34-I33</f>
        <v/>
      </c>
      <c r="J35" s="14">
        <f>I35+J34-J33</f>
        <v/>
      </c>
      <c r="K35" s="14">
        <f>J35+K34-K33</f>
        <v/>
      </c>
      <c r="L35" s="14">
        <f>K35+L34-L33</f>
        <v/>
      </c>
      <c r="M35" s="14">
        <f>L35+M34-M33</f>
        <v/>
      </c>
      <c r="N35" s="14">
        <f>M35+N34-N33</f>
        <v/>
      </c>
      <c r="O35" s="14">
        <f>N35+O34-O33</f>
        <v/>
      </c>
      <c r="P35" s="14">
        <f>O35+P34-P33</f>
        <v/>
      </c>
      <c r="Q35" s="14">
        <f>P35+Q34-Q33</f>
        <v/>
      </c>
      <c r="R35" s="14">
        <f>Q35+R34-R33</f>
        <v/>
      </c>
      <c r="S35" s="14">
        <f>R35+S34-S33</f>
        <v/>
      </c>
      <c r="T35" s="14">
        <f>S35+T34-T33</f>
        <v/>
      </c>
      <c r="U35" s="14">
        <f>T35+U34-U33</f>
        <v/>
      </c>
      <c r="V35" s="14">
        <f>U35+V34-V33</f>
        <v/>
      </c>
      <c r="W35" s="14">
        <f>V35+W34-W33</f>
        <v/>
      </c>
    </row>
    <row r="36">
      <c r="A36" s="7" t="inlineStr">
        <is>
          <t>Flujo del propietario contando el terreno (lo aporta hoy y lo recupera valorizado)</t>
        </is>
      </c>
      <c r="C36" s="14">
        <f>C34-Supuestos!$B$21</f>
        <v/>
      </c>
      <c r="D36" s="14">
        <f>D34</f>
        <v/>
      </c>
      <c r="E36" s="14">
        <f>E34</f>
        <v/>
      </c>
      <c r="F36" s="14">
        <f>F34</f>
        <v/>
      </c>
      <c r="G36" s="14">
        <f>G34</f>
        <v/>
      </c>
      <c r="H36" s="14">
        <f>H34</f>
        <v/>
      </c>
      <c r="I36" s="14">
        <f>I34</f>
        <v/>
      </c>
      <c r="J36" s="14">
        <f>J34</f>
        <v/>
      </c>
      <c r="K36" s="14">
        <f>K34</f>
        <v/>
      </c>
      <c r="L36" s="14">
        <f>L34</f>
        <v/>
      </c>
      <c r="M36" s="14">
        <f>M34</f>
        <v/>
      </c>
      <c r="N36" s="14">
        <f>N34</f>
        <v/>
      </c>
      <c r="O36" s="14">
        <f>O34</f>
        <v/>
      </c>
      <c r="P36" s="14">
        <f>P34</f>
        <v/>
      </c>
      <c r="Q36" s="14">
        <f>Q34</f>
        <v/>
      </c>
      <c r="R36" s="14">
        <f>R34</f>
        <v/>
      </c>
      <c r="S36" s="14">
        <f>S34</f>
        <v/>
      </c>
      <c r="T36" s="14">
        <f>T34</f>
        <v/>
      </c>
      <c r="U36" s="14">
        <f>U34</f>
        <v/>
      </c>
      <c r="V36" s="14">
        <f>V34</f>
        <v/>
      </c>
      <c r="W36" s="14">
        <f>W34+Supuestos!$B$21*(1+Supuestos!$B$23)^20</f>
        <v/>
      </c>
    </row>
    <row r="38">
      <c r="A38" s="7" t="inlineStr">
        <is>
          <t>Inversión total</t>
        </is>
      </c>
      <c r="C38" s="8">
        <f>-SUM(C28:W28)</f>
        <v/>
      </c>
    </row>
    <row r="39">
      <c r="A39" s="7" t="inlineStr">
        <is>
          <t>VAN al 10%</t>
        </is>
      </c>
      <c r="C39" s="8">
        <f>C34+NPV(Supuestos!$B$4,D34:W34)</f>
        <v/>
      </c>
    </row>
    <row r="40">
      <c r="A40" s="7" t="inlineStr">
        <is>
          <t>TIR</t>
        </is>
      </c>
      <c r="C40" s="23">
        <f>IFERROR(IRR(C34:W34),IFERROR(IRR(C34:W34,-0.05),"no aplica"))</f>
        <v/>
      </c>
    </row>
    <row r="41">
      <c r="A41" s="7" t="inlineStr">
        <is>
          <t>Año en que se recupera la inversión (acumulado ≥ 0)</t>
        </is>
      </c>
      <c r="C41" s="24">
        <f>IF(-SUM(C28:W28)=0,"sin inversión",IFERROR(INDEX(C21:W21,MATCH(TRUE,INDEX(C35:W35&gt;=0,0),0)),"no en 20 años"))</f>
        <v/>
      </c>
    </row>
    <row r="42">
      <c r="A42" s="7" t="inlineStr">
        <is>
          <t>Caja neta del año 5 sin inversiones (S/ nominales)</t>
        </is>
      </c>
      <c r="C42" s="8">
        <f>H34-H28</f>
        <v/>
      </c>
    </row>
    <row r="43">
      <c r="A43" s="7" t="inlineStr">
        <is>
          <t>TIR contando el terreno</t>
        </is>
      </c>
      <c r="C43" s="23">
        <f>IFERROR(IRR(C36:W36),"no aplica")</f>
        <v/>
      </c>
    </row>
  </sheetData>
  <mergeCells count="1">
    <mergeCell ref="A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B. Estacionamiento descubierto de bajo costo</t>
        </is>
      </c>
    </row>
    <row r="2" ht="30" customHeight="1">
      <c r="A2" s="17" t="inlineStr">
        <is>
          <t>Afirmado, cerco de malla, caseta y portones; 28 plazas a la intemperie, con guardián. Demanda base: 10 abonados a S/ 85, 7 autos de rotación al día a S/ 3.50 y 4 motos a S/ 35.</t>
        </is>
      </c>
    </row>
    <row r="4">
      <c r="A4" s="18" t="inlineStr">
        <is>
          <t>Fase 1: Estacionamiento descubierto</t>
        </is>
      </c>
    </row>
    <row r="5">
      <c r="A5" s="20" t="inlineStr">
        <is>
          <t>Partida</t>
        </is>
      </c>
      <c r="B5" s="20" t="inlineStr">
        <is>
          <t>Und.</t>
        </is>
      </c>
      <c r="C5" s="20" t="inlineStr">
        <is>
          <t>Cantidad</t>
        </is>
      </c>
      <c r="D5" s="20" t="inlineStr">
        <is>
          <t>P. unitario</t>
        </is>
      </c>
      <c r="E5" s="20" t="inlineStr">
        <is>
          <t>Parcial</t>
        </is>
      </c>
    </row>
    <row r="6">
      <c r="A6" s="17" t="inlineStr">
        <is>
          <t>Afirmado compactado e=0.20 m con bombeo</t>
        </is>
      </c>
      <c r="B6" t="inlineStr">
        <is>
          <t>m²</t>
        </is>
      </c>
      <c r="C6" s="5" t="n">
        <v>680</v>
      </c>
      <c r="D6" s="6" t="n">
        <v>40</v>
      </c>
      <c r="E6" s="14">
        <f>C6*D6</f>
        <v/>
      </c>
    </row>
    <row r="7">
      <c r="A7" s="17" t="inlineStr">
        <is>
          <t>Cerco de malla galvanizada h=2.0 m en frentes</t>
        </is>
      </c>
      <c r="B7" t="inlineStr">
        <is>
          <t>ml</t>
        </is>
      </c>
      <c r="C7" s="5" t="n">
        <v>44</v>
      </c>
      <c r="D7" s="6" t="n">
        <v>120</v>
      </c>
      <c r="E7" s="14">
        <f>C7*D7</f>
        <v/>
      </c>
    </row>
    <row r="8">
      <c r="A8" s="17" t="inlineStr">
        <is>
          <t>Portones de malla 3.0 m (ingreso y salida)</t>
        </is>
      </c>
      <c r="B8" t="inlineStr">
        <is>
          <t>und</t>
        </is>
      </c>
      <c r="C8" s="5" t="n">
        <v>2</v>
      </c>
      <c r="D8" s="6" t="n">
        <v>2200</v>
      </c>
      <c r="E8" s="14">
        <f>C8*D8</f>
        <v/>
      </c>
    </row>
    <row r="9">
      <c r="A9" s="17" t="inlineStr">
        <is>
          <t>Caseta prefabricada de control con SS.HH. básico</t>
        </is>
      </c>
      <c r="B9" t="inlineStr">
        <is>
          <t>und</t>
        </is>
      </c>
      <c r="C9" s="5" t="n">
        <v>1</v>
      </c>
      <c r="D9" s="6" t="n">
        <v>9000</v>
      </c>
      <c r="E9" s="14">
        <f>C9*D9</f>
        <v/>
      </c>
    </row>
    <row r="10">
      <c r="A10" s="17" t="inlineStr">
        <is>
          <t>Postes con reflector LED</t>
        </is>
      </c>
      <c r="B10" t="inlineStr">
        <is>
          <t>und</t>
        </is>
      </c>
      <c r="C10" s="5" t="n">
        <v>3</v>
      </c>
      <c r="D10" s="6" t="n">
        <v>1800</v>
      </c>
      <c r="E10" s="14">
        <f>C10*D10</f>
        <v/>
      </c>
    </row>
    <row r="11">
      <c r="A11" s="17" t="inlineStr">
        <is>
          <t>Cuneta de drenaje y descarga a la vía</t>
        </is>
      </c>
      <c r="B11" t="inlineStr">
        <is>
          <t>ml</t>
        </is>
      </c>
      <c r="C11" s="5" t="n">
        <v>25</v>
      </c>
      <c r="D11" s="6" t="n">
        <v>180</v>
      </c>
      <c r="E11" s="14">
        <f>C11*D11</f>
        <v/>
      </c>
    </row>
    <row r="12">
      <c r="A12" s="17" t="inlineStr">
        <is>
          <t>Señalización, topellantas y numeración</t>
        </is>
      </c>
      <c r="B12" t="inlineStr">
        <is>
          <t>glb</t>
        </is>
      </c>
      <c r="C12" s="5" t="n">
        <v>1</v>
      </c>
      <c r="D12" s="6" t="n">
        <v>4000</v>
      </c>
      <c r="E12" s="14">
        <f>C12*D12</f>
        <v/>
      </c>
    </row>
    <row r="13">
      <c r="A13" s="17" t="inlineStr">
        <is>
          <t>Licencia de funcionamiento, ITSE y trámites</t>
        </is>
      </c>
      <c r="B13" t="inlineStr">
        <is>
          <t>glb</t>
        </is>
      </c>
      <c r="C13" s="5" t="n">
        <v>1</v>
      </c>
      <c r="D13" s="6" t="n">
        <v>3500</v>
      </c>
      <c r="E13" s="14">
        <f>C13*D13</f>
        <v/>
      </c>
    </row>
    <row r="14">
      <c r="D14" t="inlineStr">
        <is>
          <t>Inversión (con imprevistos y factor de escenario)</t>
        </is>
      </c>
      <c r="E14" s="8">
        <f>SUM(E6:E13)*(1+Supuestos!$B$6)*Supuestos!$B$22</f>
        <v/>
      </c>
    </row>
    <row r="15">
      <c r="D15" t="inlineStr">
        <is>
          <t>Año de inversión (opera desde el año siguiente)</t>
        </is>
      </c>
      <c r="E15" s="19" t="n">
        <v>0</v>
      </c>
    </row>
    <row r="16">
      <c r="D16" t="inlineStr">
        <is>
          <t>Ingreso bruto potencial S/ por mes - pesimista</t>
        </is>
      </c>
      <c r="E16" s="6" t="n">
        <v>1140</v>
      </c>
    </row>
    <row r="17">
      <c r="D17" t="inlineStr">
        <is>
          <t>Ingreso bruto potencial S/ por mes - base</t>
        </is>
      </c>
      <c r="E17" s="6" t="n">
        <v>1725</v>
      </c>
    </row>
    <row r="18">
      <c r="D18" t="inlineStr">
        <is>
          <t>Ingreso bruto potencial S/ por mes - optimista</t>
        </is>
      </c>
      <c r="E18" s="6" t="n">
        <v>2555</v>
      </c>
    </row>
    <row r="19">
      <c r="D19" t="inlineStr">
        <is>
          <t>Ocupación cobrada - pesimista</t>
        </is>
      </c>
      <c r="E19" s="3" t="n">
        <v>1</v>
      </c>
    </row>
    <row r="20">
      <c r="D20" t="inlineStr">
        <is>
          <t>Ocupación cobrada - base</t>
        </is>
      </c>
      <c r="E20" s="3" t="n">
        <v>1</v>
      </c>
    </row>
    <row r="21">
      <c r="D21" t="inlineStr">
        <is>
          <t>Ocupación cobrada - optimista</t>
        </is>
      </c>
      <c r="E21" s="3" t="n">
        <v>1</v>
      </c>
    </row>
    <row r="22">
      <c r="D22" t="inlineStr">
        <is>
          <t>Gastos fijos S/ por año (personal, energía, mantenimiento, seguro, predial)</t>
        </is>
      </c>
      <c r="E22" s="6" t="n">
        <v>22545.4</v>
      </c>
    </row>
    <row r="23">
      <c r="D23" t="inlineStr">
        <is>
          <t>Gastos variables (% del ingreso cobrado)</t>
        </is>
      </c>
      <c r="E23" s="3" t="n">
        <v>0</v>
      </c>
    </row>
    <row r="24">
      <c r="D24" t="inlineStr">
        <is>
          <t>Impuestos (% del ingreso cobrado)</t>
        </is>
      </c>
      <c r="E24" s="3" t="n">
        <v>0</v>
      </c>
    </row>
    <row r="25">
      <c r="D25" t="inlineStr">
        <is>
          <t>Ingreso relativo 1.er año de operación</t>
        </is>
      </c>
      <c r="E25" s="3" t="n">
        <v>0.6</v>
      </c>
    </row>
    <row r="26">
      <c r="D26" t="inlineStr">
        <is>
          <t>Ingreso relativo 2.º año de operación</t>
        </is>
      </c>
      <c r="E26" s="3" t="n">
        <v>0.85</v>
      </c>
    </row>
    <row r="27">
      <c r="D27" t="inlineStr">
        <is>
          <t>Vida útil para valor residual (años)</t>
        </is>
      </c>
      <c r="E27" s="19" t="n">
        <v>10</v>
      </c>
    </row>
    <row r="28">
      <c r="D28" t="inlineStr">
        <is>
          <t>Reposición 1: años después de invertir</t>
        </is>
      </c>
      <c r="E28" s="19" t="n">
        <v>6</v>
      </c>
    </row>
    <row r="29">
      <c r="D29" t="inlineStr">
        <is>
          <t>Reposición 1: monto a precios de hoy</t>
        </is>
      </c>
      <c r="E29" s="6" t="n">
        <v>10000</v>
      </c>
    </row>
    <row r="30">
      <c r="D30" t="inlineStr">
        <is>
          <t>Reposición 2: años después de invertir</t>
        </is>
      </c>
      <c r="E30" s="19" t="n">
        <v>12</v>
      </c>
    </row>
    <row r="31">
      <c r="D31" t="inlineStr">
        <is>
          <t>Reposición 2: monto a precios de hoy</t>
        </is>
      </c>
      <c r="E31" s="6" t="n">
        <v>28600</v>
      </c>
    </row>
    <row r="33">
      <c r="A33" s="7" t="inlineStr">
        <is>
          <t>FLUJO DE CAJA (S/ nominales)</t>
        </is>
      </c>
    </row>
    <row r="34">
      <c r="A34" s="20" t="inlineStr">
        <is>
          <t>Concepto / año</t>
        </is>
      </c>
      <c r="C34" s="20" t="n">
        <v>0</v>
      </c>
      <c r="D34" s="20" t="n">
        <v>1</v>
      </c>
      <c r="E34" s="20" t="n">
        <v>2</v>
      </c>
      <c r="F34" s="20" t="n">
        <v>3</v>
      </c>
      <c r="G34" s="20" t="n">
        <v>4</v>
      </c>
      <c r="H34" s="20" t="n">
        <v>5</v>
      </c>
      <c r="I34" s="20" t="n">
        <v>6</v>
      </c>
      <c r="J34" s="20" t="n">
        <v>7</v>
      </c>
      <c r="K34" s="20" t="n">
        <v>8</v>
      </c>
      <c r="L34" s="20" t="n">
        <v>9</v>
      </c>
      <c r="M34" s="20" t="n">
        <v>10</v>
      </c>
      <c r="N34" s="20" t="n">
        <v>11</v>
      </c>
      <c r="O34" s="20" t="n">
        <v>12</v>
      </c>
      <c r="P34" s="20" t="n">
        <v>13</v>
      </c>
      <c r="Q34" s="20" t="n">
        <v>14</v>
      </c>
      <c r="R34" s="20" t="n">
        <v>15</v>
      </c>
      <c r="S34" s="20" t="n">
        <v>16</v>
      </c>
      <c r="T34" s="20" t="n">
        <v>17</v>
      </c>
      <c r="U34" s="20" t="n">
        <v>18</v>
      </c>
      <c r="V34" s="20" t="n">
        <v>19</v>
      </c>
      <c r="W34" s="20" t="n">
        <v>20</v>
      </c>
    </row>
    <row r="35">
      <c r="A35" s="21" t="inlineStr">
        <is>
          <t xml:space="preserve">  Inversión - fase 1</t>
        </is>
      </c>
      <c r="C35" s="14">
        <f>IF(C$34=$E$15,-$E$14*(1+Supuestos!$B$5)^MAX($E$15-1,0),0)</f>
        <v/>
      </c>
      <c r="D35" s="14">
        <f>IF(D$34=$E$15,-$E$14*(1+Supuestos!$B$5)^MAX($E$15-1,0),0)</f>
        <v/>
      </c>
      <c r="E35" s="14">
        <f>IF(E$34=$E$15,-$E$14*(1+Supuestos!$B$5)^MAX($E$15-1,0),0)</f>
        <v/>
      </c>
      <c r="F35" s="14">
        <f>IF(F$34=$E$15,-$E$14*(1+Supuestos!$B$5)^MAX($E$15-1,0),0)</f>
        <v/>
      </c>
      <c r="G35" s="14">
        <f>IF(G$34=$E$15,-$E$14*(1+Supuestos!$B$5)^MAX($E$15-1,0),0)</f>
        <v/>
      </c>
      <c r="H35" s="14">
        <f>IF(H$34=$E$15,-$E$14*(1+Supuestos!$B$5)^MAX($E$15-1,0),0)</f>
        <v/>
      </c>
      <c r="I35" s="14">
        <f>IF(I$34=$E$15,-$E$14*(1+Supuestos!$B$5)^MAX($E$15-1,0),0)</f>
        <v/>
      </c>
      <c r="J35" s="14">
        <f>IF(J$34=$E$15,-$E$14*(1+Supuestos!$B$5)^MAX($E$15-1,0),0)</f>
        <v/>
      </c>
      <c r="K35" s="14">
        <f>IF(K$34=$E$15,-$E$14*(1+Supuestos!$B$5)^MAX($E$15-1,0),0)</f>
        <v/>
      </c>
      <c r="L35" s="14">
        <f>IF(L$34=$E$15,-$E$14*(1+Supuestos!$B$5)^MAX($E$15-1,0),0)</f>
        <v/>
      </c>
      <c r="M35" s="14">
        <f>IF(M$34=$E$15,-$E$14*(1+Supuestos!$B$5)^MAX($E$15-1,0),0)</f>
        <v/>
      </c>
      <c r="N35" s="14">
        <f>IF(N$34=$E$15,-$E$14*(1+Supuestos!$B$5)^MAX($E$15-1,0),0)</f>
        <v/>
      </c>
      <c r="O35" s="14">
        <f>IF(O$34=$E$15,-$E$14*(1+Supuestos!$B$5)^MAX($E$15-1,0),0)</f>
        <v/>
      </c>
      <c r="P35" s="14">
        <f>IF(P$34=$E$15,-$E$14*(1+Supuestos!$B$5)^MAX($E$15-1,0),0)</f>
        <v/>
      </c>
      <c r="Q35" s="14">
        <f>IF(Q$34=$E$15,-$E$14*(1+Supuestos!$B$5)^MAX($E$15-1,0),0)</f>
        <v/>
      </c>
      <c r="R35" s="14">
        <f>IF(R$34=$E$15,-$E$14*(1+Supuestos!$B$5)^MAX($E$15-1,0),0)</f>
        <v/>
      </c>
      <c r="S35" s="14">
        <f>IF(S$34=$E$15,-$E$14*(1+Supuestos!$B$5)^MAX($E$15-1,0),0)</f>
        <v/>
      </c>
      <c r="T35" s="14">
        <f>IF(T$34=$E$15,-$E$14*(1+Supuestos!$B$5)^MAX($E$15-1,0),0)</f>
        <v/>
      </c>
      <c r="U35" s="14">
        <f>IF(U$34=$E$15,-$E$14*(1+Supuestos!$B$5)^MAX($E$15-1,0),0)</f>
        <v/>
      </c>
      <c r="V35" s="14">
        <f>IF(V$34=$E$15,-$E$14*(1+Supuestos!$B$5)^MAX($E$15-1,0),0)</f>
        <v/>
      </c>
      <c r="W35" s="14">
        <f>IF(W$34=$E$15,-$E$14*(1+Supuestos!$B$5)^MAX($E$15-1,0),0)</f>
        <v/>
      </c>
    </row>
    <row r="36">
      <c r="A36" s="21" t="inlineStr">
        <is>
          <t xml:space="preserve">  Ingresos cobrados - fase 1</t>
        </is>
      </c>
      <c r="C36" s="14">
        <f>IF((C$34-$E$15)&gt;=1,CHOOSE(Supuestos!$B$3,$E$16,$E$17,$E$18)*12*CHOOSE(Supuestos!$B$3,$E$19,$E$20,$E$21)*IF((C$34-$E$15)=1,$E$25,IF((C$34-$E$15)=2,$E$26,1))*(1+Supuestos!$B$5)^MAX(C$34-1,0),0)</f>
        <v/>
      </c>
      <c r="D36" s="14">
        <f>IF((D$34-$E$15)&gt;=1,CHOOSE(Supuestos!$B$3,$E$16,$E$17,$E$18)*12*CHOOSE(Supuestos!$B$3,$E$19,$E$20,$E$21)*IF((D$34-$E$15)=1,$E$25,IF((D$34-$E$15)=2,$E$26,1))*(1+Supuestos!$B$5)^MAX(D$34-1,0),0)</f>
        <v/>
      </c>
      <c r="E36" s="14">
        <f>IF((E$34-$E$15)&gt;=1,CHOOSE(Supuestos!$B$3,$E$16,$E$17,$E$18)*12*CHOOSE(Supuestos!$B$3,$E$19,$E$20,$E$21)*IF((E$34-$E$15)=1,$E$25,IF((E$34-$E$15)=2,$E$26,1))*(1+Supuestos!$B$5)^MAX(E$34-1,0),0)</f>
        <v/>
      </c>
      <c r="F36" s="14">
        <f>IF((F$34-$E$15)&gt;=1,CHOOSE(Supuestos!$B$3,$E$16,$E$17,$E$18)*12*CHOOSE(Supuestos!$B$3,$E$19,$E$20,$E$21)*IF((F$34-$E$15)=1,$E$25,IF((F$34-$E$15)=2,$E$26,1))*(1+Supuestos!$B$5)^MAX(F$34-1,0),0)</f>
        <v/>
      </c>
      <c r="G36" s="14">
        <f>IF((G$34-$E$15)&gt;=1,CHOOSE(Supuestos!$B$3,$E$16,$E$17,$E$18)*12*CHOOSE(Supuestos!$B$3,$E$19,$E$20,$E$21)*IF((G$34-$E$15)=1,$E$25,IF((G$34-$E$15)=2,$E$26,1))*(1+Supuestos!$B$5)^MAX(G$34-1,0),0)</f>
        <v/>
      </c>
      <c r="H36" s="14">
        <f>IF((H$34-$E$15)&gt;=1,CHOOSE(Supuestos!$B$3,$E$16,$E$17,$E$18)*12*CHOOSE(Supuestos!$B$3,$E$19,$E$20,$E$21)*IF((H$34-$E$15)=1,$E$25,IF((H$34-$E$15)=2,$E$26,1))*(1+Supuestos!$B$5)^MAX(H$34-1,0),0)</f>
        <v/>
      </c>
      <c r="I36" s="14">
        <f>IF((I$34-$E$15)&gt;=1,CHOOSE(Supuestos!$B$3,$E$16,$E$17,$E$18)*12*CHOOSE(Supuestos!$B$3,$E$19,$E$20,$E$21)*IF((I$34-$E$15)=1,$E$25,IF((I$34-$E$15)=2,$E$26,1))*(1+Supuestos!$B$5)^MAX(I$34-1,0),0)</f>
        <v/>
      </c>
      <c r="J36" s="14">
        <f>IF((J$34-$E$15)&gt;=1,CHOOSE(Supuestos!$B$3,$E$16,$E$17,$E$18)*12*CHOOSE(Supuestos!$B$3,$E$19,$E$20,$E$21)*IF((J$34-$E$15)=1,$E$25,IF((J$34-$E$15)=2,$E$26,1))*(1+Supuestos!$B$5)^MAX(J$34-1,0),0)</f>
        <v/>
      </c>
      <c r="K36" s="14">
        <f>IF((K$34-$E$15)&gt;=1,CHOOSE(Supuestos!$B$3,$E$16,$E$17,$E$18)*12*CHOOSE(Supuestos!$B$3,$E$19,$E$20,$E$21)*IF((K$34-$E$15)=1,$E$25,IF((K$34-$E$15)=2,$E$26,1))*(1+Supuestos!$B$5)^MAX(K$34-1,0),0)</f>
        <v/>
      </c>
      <c r="L36" s="14">
        <f>IF((L$34-$E$15)&gt;=1,CHOOSE(Supuestos!$B$3,$E$16,$E$17,$E$18)*12*CHOOSE(Supuestos!$B$3,$E$19,$E$20,$E$21)*IF((L$34-$E$15)=1,$E$25,IF((L$34-$E$15)=2,$E$26,1))*(1+Supuestos!$B$5)^MAX(L$34-1,0),0)</f>
        <v/>
      </c>
      <c r="M36" s="14">
        <f>IF((M$34-$E$15)&gt;=1,CHOOSE(Supuestos!$B$3,$E$16,$E$17,$E$18)*12*CHOOSE(Supuestos!$B$3,$E$19,$E$20,$E$21)*IF((M$34-$E$15)=1,$E$25,IF((M$34-$E$15)=2,$E$26,1))*(1+Supuestos!$B$5)^MAX(M$34-1,0),0)</f>
        <v/>
      </c>
      <c r="N36" s="14">
        <f>IF((N$34-$E$15)&gt;=1,CHOOSE(Supuestos!$B$3,$E$16,$E$17,$E$18)*12*CHOOSE(Supuestos!$B$3,$E$19,$E$20,$E$21)*IF((N$34-$E$15)=1,$E$25,IF((N$34-$E$15)=2,$E$26,1))*(1+Supuestos!$B$5)^MAX(N$34-1,0),0)</f>
        <v/>
      </c>
      <c r="O36" s="14">
        <f>IF((O$34-$E$15)&gt;=1,CHOOSE(Supuestos!$B$3,$E$16,$E$17,$E$18)*12*CHOOSE(Supuestos!$B$3,$E$19,$E$20,$E$21)*IF((O$34-$E$15)=1,$E$25,IF((O$34-$E$15)=2,$E$26,1))*(1+Supuestos!$B$5)^MAX(O$34-1,0),0)</f>
        <v/>
      </c>
      <c r="P36" s="14">
        <f>IF((P$34-$E$15)&gt;=1,CHOOSE(Supuestos!$B$3,$E$16,$E$17,$E$18)*12*CHOOSE(Supuestos!$B$3,$E$19,$E$20,$E$21)*IF((P$34-$E$15)=1,$E$25,IF((P$34-$E$15)=2,$E$26,1))*(1+Supuestos!$B$5)^MAX(P$34-1,0),0)</f>
        <v/>
      </c>
      <c r="Q36" s="14">
        <f>IF((Q$34-$E$15)&gt;=1,CHOOSE(Supuestos!$B$3,$E$16,$E$17,$E$18)*12*CHOOSE(Supuestos!$B$3,$E$19,$E$20,$E$21)*IF((Q$34-$E$15)=1,$E$25,IF((Q$34-$E$15)=2,$E$26,1))*(1+Supuestos!$B$5)^MAX(Q$34-1,0),0)</f>
        <v/>
      </c>
      <c r="R36" s="14">
        <f>IF((R$34-$E$15)&gt;=1,CHOOSE(Supuestos!$B$3,$E$16,$E$17,$E$18)*12*CHOOSE(Supuestos!$B$3,$E$19,$E$20,$E$21)*IF((R$34-$E$15)=1,$E$25,IF((R$34-$E$15)=2,$E$26,1))*(1+Supuestos!$B$5)^MAX(R$34-1,0),0)</f>
        <v/>
      </c>
      <c r="S36" s="14">
        <f>IF((S$34-$E$15)&gt;=1,CHOOSE(Supuestos!$B$3,$E$16,$E$17,$E$18)*12*CHOOSE(Supuestos!$B$3,$E$19,$E$20,$E$21)*IF((S$34-$E$15)=1,$E$25,IF((S$34-$E$15)=2,$E$26,1))*(1+Supuestos!$B$5)^MAX(S$34-1,0),0)</f>
        <v/>
      </c>
      <c r="T36" s="14">
        <f>IF((T$34-$E$15)&gt;=1,CHOOSE(Supuestos!$B$3,$E$16,$E$17,$E$18)*12*CHOOSE(Supuestos!$B$3,$E$19,$E$20,$E$21)*IF((T$34-$E$15)=1,$E$25,IF((T$34-$E$15)=2,$E$26,1))*(1+Supuestos!$B$5)^MAX(T$34-1,0),0)</f>
        <v/>
      </c>
      <c r="U36" s="14">
        <f>IF((U$34-$E$15)&gt;=1,CHOOSE(Supuestos!$B$3,$E$16,$E$17,$E$18)*12*CHOOSE(Supuestos!$B$3,$E$19,$E$20,$E$21)*IF((U$34-$E$15)=1,$E$25,IF((U$34-$E$15)=2,$E$26,1))*(1+Supuestos!$B$5)^MAX(U$34-1,0),0)</f>
        <v/>
      </c>
      <c r="V36" s="14">
        <f>IF((V$34-$E$15)&gt;=1,CHOOSE(Supuestos!$B$3,$E$16,$E$17,$E$18)*12*CHOOSE(Supuestos!$B$3,$E$19,$E$20,$E$21)*IF((V$34-$E$15)=1,$E$25,IF((V$34-$E$15)=2,$E$26,1))*(1+Supuestos!$B$5)^MAX(V$34-1,0),0)</f>
        <v/>
      </c>
      <c r="W36" s="14">
        <f>IF((W$34-$E$15)&gt;=1,CHOOSE(Supuestos!$B$3,$E$16,$E$17,$E$18)*12*CHOOSE(Supuestos!$B$3,$E$19,$E$20,$E$21)*IF((W$34-$E$15)=1,$E$25,IF((W$34-$E$15)=2,$E$26,1))*(1+Supuestos!$B$5)^MAX(W$34-1,0),0)</f>
        <v/>
      </c>
    </row>
    <row r="37">
      <c r="A37" s="21" t="inlineStr">
        <is>
          <t xml:space="preserve">  Gastos - fase 1</t>
        </is>
      </c>
      <c r="C37" s="14">
        <f>IF((C$34-$E$15)&gt;=1,-$E$22*(1+Supuestos!$B$5)^MAX(C$34-1,0)-$E$23*C36,0)</f>
        <v/>
      </c>
      <c r="D37" s="14">
        <f>IF((D$34-$E$15)&gt;=1,-$E$22*(1+Supuestos!$B$5)^MAX(D$34-1,0)-$E$23*D36,0)</f>
        <v/>
      </c>
      <c r="E37" s="14">
        <f>IF((E$34-$E$15)&gt;=1,-$E$22*(1+Supuestos!$B$5)^MAX(E$34-1,0)-$E$23*E36,0)</f>
        <v/>
      </c>
      <c r="F37" s="14">
        <f>IF((F$34-$E$15)&gt;=1,-$E$22*(1+Supuestos!$B$5)^MAX(F$34-1,0)-$E$23*F36,0)</f>
        <v/>
      </c>
      <c r="G37" s="14">
        <f>IF((G$34-$E$15)&gt;=1,-$E$22*(1+Supuestos!$B$5)^MAX(G$34-1,0)-$E$23*G36,0)</f>
        <v/>
      </c>
      <c r="H37" s="14">
        <f>IF((H$34-$E$15)&gt;=1,-$E$22*(1+Supuestos!$B$5)^MAX(H$34-1,0)-$E$23*H36,0)</f>
        <v/>
      </c>
      <c r="I37" s="14">
        <f>IF((I$34-$E$15)&gt;=1,-$E$22*(1+Supuestos!$B$5)^MAX(I$34-1,0)-$E$23*I36,0)</f>
        <v/>
      </c>
      <c r="J37" s="14">
        <f>IF((J$34-$E$15)&gt;=1,-$E$22*(1+Supuestos!$B$5)^MAX(J$34-1,0)-$E$23*J36,0)</f>
        <v/>
      </c>
      <c r="K37" s="14">
        <f>IF((K$34-$E$15)&gt;=1,-$E$22*(1+Supuestos!$B$5)^MAX(K$34-1,0)-$E$23*K36,0)</f>
        <v/>
      </c>
      <c r="L37" s="14">
        <f>IF((L$34-$E$15)&gt;=1,-$E$22*(1+Supuestos!$B$5)^MAX(L$34-1,0)-$E$23*L36,0)</f>
        <v/>
      </c>
      <c r="M37" s="14">
        <f>IF((M$34-$E$15)&gt;=1,-$E$22*(1+Supuestos!$B$5)^MAX(M$34-1,0)-$E$23*M36,0)</f>
        <v/>
      </c>
      <c r="N37" s="14">
        <f>IF((N$34-$E$15)&gt;=1,-$E$22*(1+Supuestos!$B$5)^MAX(N$34-1,0)-$E$23*N36,0)</f>
        <v/>
      </c>
      <c r="O37" s="14">
        <f>IF((O$34-$E$15)&gt;=1,-$E$22*(1+Supuestos!$B$5)^MAX(O$34-1,0)-$E$23*O36,0)</f>
        <v/>
      </c>
      <c r="P37" s="14">
        <f>IF((P$34-$E$15)&gt;=1,-$E$22*(1+Supuestos!$B$5)^MAX(P$34-1,0)-$E$23*P36,0)</f>
        <v/>
      </c>
      <c r="Q37" s="14">
        <f>IF((Q$34-$E$15)&gt;=1,-$E$22*(1+Supuestos!$B$5)^MAX(Q$34-1,0)-$E$23*Q36,0)</f>
        <v/>
      </c>
      <c r="R37" s="14">
        <f>IF((R$34-$E$15)&gt;=1,-$E$22*(1+Supuestos!$B$5)^MAX(R$34-1,0)-$E$23*R36,0)</f>
        <v/>
      </c>
      <c r="S37" s="14">
        <f>IF((S$34-$E$15)&gt;=1,-$E$22*(1+Supuestos!$B$5)^MAX(S$34-1,0)-$E$23*S36,0)</f>
        <v/>
      </c>
      <c r="T37" s="14">
        <f>IF((T$34-$E$15)&gt;=1,-$E$22*(1+Supuestos!$B$5)^MAX(T$34-1,0)-$E$23*T36,0)</f>
        <v/>
      </c>
      <c r="U37" s="14">
        <f>IF((U$34-$E$15)&gt;=1,-$E$22*(1+Supuestos!$B$5)^MAX(U$34-1,0)-$E$23*U36,0)</f>
        <v/>
      </c>
      <c r="V37" s="14">
        <f>IF((V$34-$E$15)&gt;=1,-$E$22*(1+Supuestos!$B$5)^MAX(V$34-1,0)-$E$23*V36,0)</f>
        <v/>
      </c>
      <c r="W37" s="14">
        <f>IF((W$34-$E$15)&gt;=1,-$E$22*(1+Supuestos!$B$5)^MAX(W$34-1,0)-$E$23*W36,0)</f>
        <v/>
      </c>
    </row>
    <row r="38">
      <c r="A38" s="21" t="inlineStr">
        <is>
          <t xml:space="preserve">  Impuestos - fase 1</t>
        </is>
      </c>
      <c r="C38" s="14">
        <f>-$E$24*C36</f>
        <v/>
      </c>
      <c r="D38" s="14">
        <f>-$E$24*D36</f>
        <v/>
      </c>
      <c r="E38" s="14">
        <f>-$E$24*E36</f>
        <v/>
      </c>
      <c r="F38" s="14">
        <f>-$E$24*F36</f>
        <v/>
      </c>
      <c r="G38" s="14">
        <f>-$E$24*G36</f>
        <v/>
      </c>
      <c r="H38" s="14">
        <f>-$E$24*H36</f>
        <v/>
      </c>
      <c r="I38" s="14">
        <f>-$E$24*I36</f>
        <v/>
      </c>
      <c r="J38" s="14">
        <f>-$E$24*J36</f>
        <v/>
      </c>
      <c r="K38" s="14">
        <f>-$E$24*K36</f>
        <v/>
      </c>
      <c r="L38" s="14">
        <f>-$E$24*L36</f>
        <v/>
      </c>
      <c r="M38" s="14">
        <f>-$E$24*M36</f>
        <v/>
      </c>
      <c r="N38" s="14">
        <f>-$E$24*N36</f>
        <v/>
      </c>
      <c r="O38" s="14">
        <f>-$E$24*O36</f>
        <v/>
      </c>
      <c r="P38" s="14">
        <f>-$E$24*P36</f>
        <v/>
      </c>
      <c r="Q38" s="14">
        <f>-$E$24*Q36</f>
        <v/>
      </c>
      <c r="R38" s="14">
        <f>-$E$24*R36</f>
        <v/>
      </c>
      <c r="S38" s="14">
        <f>-$E$24*S36</f>
        <v/>
      </c>
      <c r="T38" s="14">
        <f>-$E$24*T36</f>
        <v/>
      </c>
      <c r="U38" s="14">
        <f>-$E$24*U36</f>
        <v/>
      </c>
      <c r="V38" s="14">
        <f>-$E$24*V36</f>
        <v/>
      </c>
      <c r="W38" s="14">
        <f>-$E$24*W36</f>
        <v/>
      </c>
    </row>
    <row r="39">
      <c r="A39" s="21" t="inlineStr">
        <is>
          <t xml:space="preserve">  Reposiciones - fase 1</t>
        </is>
      </c>
      <c r="C39" s="14">
        <f>IF((C$34-$E$15)=$E$28,-$E$29*(1+Supuestos!$B$5)^MAX(C$34-1,0)*Supuestos!$B$22,0)+IF((C$34-$E$15)=$E$30,-$E$31*(1+Supuestos!$B$5)^MAX(C$34-1,0)*Supuestos!$B$22,0)</f>
        <v/>
      </c>
      <c r="D39" s="14">
        <f>IF((D$34-$E$15)=$E$28,-$E$29*(1+Supuestos!$B$5)^MAX(D$34-1,0)*Supuestos!$B$22,0)+IF((D$34-$E$15)=$E$30,-$E$31*(1+Supuestos!$B$5)^MAX(D$34-1,0)*Supuestos!$B$22,0)</f>
        <v/>
      </c>
      <c r="E39" s="14">
        <f>IF((E$34-$E$15)=$E$28,-$E$29*(1+Supuestos!$B$5)^MAX(E$34-1,0)*Supuestos!$B$22,0)+IF((E$34-$E$15)=$E$30,-$E$31*(1+Supuestos!$B$5)^MAX(E$34-1,0)*Supuestos!$B$22,0)</f>
        <v/>
      </c>
      <c r="F39" s="14">
        <f>IF((F$34-$E$15)=$E$28,-$E$29*(1+Supuestos!$B$5)^MAX(F$34-1,0)*Supuestos!$B$22,0)+IF((F$34-$E$15)=$E$30,-$E$31*(1+Supuestos!$B$5)^MAX(F$34-1,0)*Supuestos!$B$22,0)</f>
        <v/>
      </c>
      <c r="G39" s="14">
        <f>IF((G$34-$E$15)=$E$28,-$E$29*(1+Supuestos!$B$5)^MAX(G$34-1,0)*Supuestos!$B$22,0)+IF((G$34-$E$15)=$E$30,-$E$31*(1+Supuestos!$B$5)^MAX(G$34-1,0)*Supuestos!$B$22,0)</f>
        <v/>
      </c>
      <c r="H39" s="14">
        <f>IF((H$34-$E$15)=$E$28,-$E$29*(1+Supuestos!$B$5)^MAX(H$34-1,0)*Supuestos!$B$22,0)+IF((H$34-$E$15)=$E$30,-$E$31*(1+Supuestos!$B$5)^MAX(H$34-1,0)*Supuestos!$B$22,0)</f>
        <v/>
      </c>
      <c r="I39" s="14">
        <f>IF((I$34-$E$15)=$E$28,-$E$29*(1+Supuestos!$B$5)^MAX(I$34-1,0)*Supuestos!$B$22,0)+IF((I$34-$E$15)=$E$30,-$E$31*(1+Supuestos!$B$5)^MAX(I$34-1,0)*Supuestos!$B$22,0)</f>
        <v/>
      </c>
      <c r="J39" s="14">
        <f>IF((J$34-$E$15)=$E$28,-$E$29*(1+Supuestos!$B$5)^MAX(J$34-1,0)*Supuestos!$B$22,0)+IF((J$34-$E$15)=$E$30,-$E$31*(1+Supuestos!$B$5)^MAX(J$34-1,0)*Supuestos!$B$22,0)</f>
        <v/>
      </c>
      <c r="K39" s="14">
        <f>IF((K$34-$E$15)=$E$28,-$E$29*(1+Supuestos!$B$5)^MAX(K$34-1,0)*Supuestos!$B$22,0)+IF((K$34-$E$15)=$E$30,-$E$31*(1+Supuestos!$B$5)^MAX(K$34-1,0)*Supuestos!$B$22,0)</f>
        <v/>
      </c>
      <c r="L39" s="14">
        <f>IF((L$34-$E$15)=$E$28,-$E$29*(1+Supuestos!$B$5)^MAX(L$34-1,0)*Supuestos!$B$22,0)+IF((L$34-$E$15)=$E$30,-$E$31*(1+Supuestos!$B$5)^MAX(L$34-1,0)*Supuestos!$B$22,0)</f>
        <v/>
      </c>
      <c r="M39" s="14">
        <f>IF((M$34-$E$15)=$E$28,-$E$29*(1+Supuestos!$B$5)^MAX(M$34-1,0)*Supuestos!$B$22,0)+IF((M$34-$E$15)=$E$30,-$E$31*(1+Supuestos!$B$5)^MAX(M$34-1,0)*Supuestos!$B$22,0)</f>
        <v/>
      </c>
      <c r="N39" s="14">
        <f>IF((N$34-$E$15)=$E$28,-$E$29*(1+Supuestos!$B$5)^MAX(N$34-1,0)*Supuestos!$B$22,0)+IF((N$34-$E$15)=$E$30,-$E$31*(1+Supuestos!$B$5)^MAX(N$34-1,0)*Supuestos!$B$22,0)</f>
        <v/>
      </c>
      <c r="O39" s="14">
        <f>IF((O$34-$E$15)=$E$28,-$E$29*(1+Supuestos!$B$5)^MAX(O$34-1,0)*Supuestos!$B$22,0)+IF((O$34-$E$15)=$E$30,-$E$31*(1+Supuestos!$B$5)^MAX(O$34-1,0)*Supuestos!$B$22,0)</f>
        <v/>
      </c>
      <c r="P39" s="14">
        <f>IF((P$34-$E$15)=$E$28,-$E$29*(1+Supuestos!$B$5)^MAX(P$34-1,0)*Supuestos!$B$22,0)+IF((P$34-$E$15)=$E$30,-$E$31*(1+Supuestos!$B$5)^MAX(P$34-1,0)*Supuestos!$B$22,0)</f>
        <v/>
      </c>
      <c r="Q39" s="14">
        <f>IF((Q$34-$E$15)=$E$28,-$E$29*(1+Supuestos!$B$5)^MAX(Q$34-1,0)*Supuestos!$B$22,0)+IF((Q$34-$E$15)=$E$30,-$E$31*(1+Supuestos!$B$5)^MAX(Q$34-1,0)*Supuestos!$B$22,0)</f>
        <v/>
      </c>
      <c r="R39" s="14">
        <f>IF((R$34-$E$15)=$E$28,-$E$29*(1+Supuestos!$B$5)^MAX(R$34-1,0)*Supuestos!$B$22,0)+IF((R$34-$E$15)=$E$30,-$E$31*(1+Supuestos!$B$5)^MAX(R$34-1,0)*Supuestos!$B$22,0)</f>
        <v/>
      </c>
      <c r="S39" s="14">
        <f>IF((S$34-$E$15)=$E$28,-$E$29*(1+Supuestos!$B$5)^MAX(S$34-1,0)*Supuestos!$B$22,0)+IF((S$34-$E$15)=$E$30,-$E$31*(1+Supuestos!$B$5)^MAX(S$34-1,0)*Supuestos!$B$22,0)</f>
        <v/>
      </c>
      <c r="T39" s="14">
        <f>IF((T$34-$E$15)=$E$28,-$E$29*(1+Supuestos!$B$5)^MAX(T$34-1,0)*Supuestos!$B$22,0)+IF((T$34-$E$15)=$E$30,-$E$31*(1+Supuestos!$B$5)^MAX(T$34-1,0)*Supuestos!$B$22,0)</f>
        <v/>
      </c>
      <c r="U39" s="14">
        <f>IF((U$34-$E$15)=$E$28,-$E$29*(1+Supuestos!$B$5)^MAX(U$34-1,0)*Supuestos!$B$22,0)+IF((U$34-$E$15)=$E$30,-$E$31*(1+Supuestos!$B$5)^MAX(U$34-1,0)*Supuestos!$B$22,0)</f>
        <v/>
      </c>
      <c r="V39" s="14">
        <f>IF((V$34-$E$15)=$E$28,-$E$29*(1+Supuestos!$B$5)^MAX(V$34-1,0)*Supuestos!$B$22,0)+IF((V$34-$E$15)=$E$30,-$E$31*(1+Supuestos!$B$5)^MAX(V$34-1,0)*Supuestos!$B$22,0)</f>
        <v/>
      </c>
      <c r="W39" s="14">
        <f>IF((W$34-$E$15)=$E$28,-$E$29*(1+Supuestos!$B$5)^MAX(W$34-1,0)*Supuestos!$B$22,0)+IF((W$34-$E$15)=$E$30,-$E$31*(1+Supuestos!$B$5)^MAX(W$34-1,0)*Supuestos!$B$22,0)</f>
        <v/>
      </c>
    </row>
    <row r="40">
      <c r="A40" s="21" t="inlineStr">
        <is>
          <t xml:space="preserve">  Valor residual (año 20) - fase 1</t>
        </is>
      </c>
      <c r="C40" s="14">
        <f>IF(AND(C$34=20,$E$27&gt;1),$E$14*(1+Supuestos!$B$5)^MAX($E$15-1,0)*MAX(0,1-(20-$E$15)/$E$27),0)</f>
        <v/>
      </c>
      <c r="D40" s="14">
        <f>IF(AND(D$34=20,$E$27&gt;1),$E$14*(1+Supuestos!$B$5)^MAX($E$15-1,0)*MAX(0,1-(20-$E$15)/$E$27),0)</f>
        <v/>
      </c>
      <c r="E40" s="14">
        <f>IF(AND(E$34=20,$E$27&gt;1),$E$14*(1+Supuestos!$B$5)^MAX($E$15-1,0)*MAX(0,1-(20-$E$15)/$E$27),0)</f>
        <v/>
      </c>
      <c r="F40" s="14">
        <f>IF(AND(F$34=20,$E$27&gt;1),$E$14*(1+Supuestos!$B$5)^MAX($E$15-1,0)*MAX(0,1-(20-$E$15)/$E$27),0)</f>
        <v/>
      </c>
      <c r="G40" s="14">
        <f>IF(AND(G$34=20,$E$27&gt;1),$E$14*(1+Supuestos!$B$5)^MAX($E$15-1,0)*MAX(0,1-(20-$E$15)/$E$27),0)</f>
        <v/>
      </c>
      <c r="H40" s="14">
        <f>IF(AND(H$34=20,$E$27&gt;1),$E$14*(1+Supuestos!$B$5)^MAX($E$15-1,0)*MAX(0,1-(20-$E$15)/$E$27),0)</f>
        <v/>
      </c>
      <c r="I40" s="14">
        <f>IF(AND(I$34=20,$E$27&gt;1),$E$14*(1+Supuestos!$B$5)^MAX($E$15-1,0)*MAX(0,1-(20-$E$15)/$E$27),0)</f>
        <v/>
      </c>
      <c r="J40" s="14">
        <f>IF(AND(J$34=20,$E$27&gt;1),$E$14*(1+Supuestos!$B$5)^MAX($E$15-1,0)*MAX(0,1-(20-$E$15)/$E$27),0)</f>
        <v/>
      </c>
      <c r="K40" s="14">
        <f>IF(AND(K$34=20,$E$27&gt;1),$E$14*(1+Supuestos!$B$5)^MAX($E$15-1,0)*MAX(0,1-(20-$E$15)/$E$27),0)</f>
        <v/>
      </c>
      <c r="L40" s="14">
        <f>IF(AND(L$34=20,$E$27&gt;1),$E$14*(1+Supuestos!$B$5)^MAX($E$15-1,0)*MAX(0,1-(20-$E$15)/$E$27),0)</f>
        <v/>
      </c>
      <c r="M40" s="14">
        <f>IF(AND(M$34=20,$E$27&gt;1),$E$14*(1+Supuestos!$B$5)^MAX($E$15-1,0)*MAX(0,1-(20-$E$15)/$E$27),0)</f>
        <v/>
      </c>
      <c r="N40" s="14">
        <f>IF(AND(N$34=20,$E$27&gt;1),$E$14*(1+Supuestos!$B$5)^MAX($E$15-1,0)*MAX(0,1-(20-$E$15)/$E$27),0)</f>
        <v/>
      </c>
      <c r="O40" s="14">
        <f>IF(AND(O$34=20,$E$27&gt;1),$E$14*(1+Supuestos!$B$5)^MAX($E$15-1,0)*MAX(0,1-(20-$E$15)/$E$27),0)</f>
        <v/>
      </c>
      <c r="P40" s="14">
        <f>IF(AND(P$34=20,$E$27&gt;1),$E$14*(1+Supuestos!$B$5)^MAX($E$15-1,0)*MAX(0,1-(20-$E$15)/$E$27),0)</f>
        <v/>
      </c>
      <c r="Q40" s="14">
        <f>IF(AND(Q$34=20,$E$27&gt;1),$E$14*(1+Supuestos!$B$5)^MAX($E$15-1,0)*MAX(0,1-(20-$E$15)/$E$27),0)</f>
        <v/>
      </c>
      <c r="R40" s="14">
        <f>IF(AND(R$34=20,$E$27&gt;1),$E$14*(1+Supuestos!$B$5)^MAX($E$15-1,0)*MAX(0,1-(20-$E$15)/$E$27),0)</f>
        <v/>
      </c>
      <c r="S40" s="14">
        <f>IF(AND(S$34=20,$E$27&gt;1),$E$14*(1+Supuestos!$B$5)^MAX($E$15-1,0)*MAX(0,1-(20-$E$15)/$E$27),0)</f>
        <v/>
      </c>
      <c r="T40" s="14">
        <f>IF(AND(T$34=20,$E$27&gt;1),$E$14*(1+Supuestos!$B$5)^MAX($E$15-1,0)*MAX(0,1-(20-$E$15)/$E$27),0)</f>
        <v/>
      </c>
      <c r="U40" s="14">
        <f>IF(AND(U$34=20,$E$27&gt;1),$E$14*(1+Supuestos!$B$5)^MAX($E$15-1,0)*MAX(0,1-(20-$E$15)/$E$27),0)</f>
        <v/>
      </c>
      <c r="V40" s="14">
        <f>IF(AND(V$34=20,$E$27&gt;1),$E$14*(1+Supuestos!$B$5)^MAX($E$15-1,0)*MAX(0,1-(20-$E$15)/$E$27),0)</f>
        <v/>
      </c>
      <c r="W40" s="14">
        <f>IF(AND(W$34=20,$E$27&gt;1),$E$14*(1+Supuestos!$B$5)^MAX($E$15-1,0)*MAX(0,1-(20-$E$15)/$E$27),0)</f>
        <v/>
      </c>
    </row>
    <row r="41">
      <c r="A41" s="7" t="inlineStr">
        <is>
          <t>Inversión</t>
        </is>
      </c>
      <c r="C41" s="22">
        <f>C35</f>
        <v/>
      </c>
      <c r="D41" s="22">
        <f>D35</f>
        <v/>
      </c>
      <c r="E41" s="22">
        <f>E35</f>
        <v/>
      </c>
      <c r="F41" s="22">
        <f>F35</f>
        <v/>
      </c>
      <c r="G41" s="22">
        <f>G35</f>
        <v/>
      </c>
      <c r="H41" s="22">
        <f>H35</f>
        <v/>
      </c>
      <c r="I41" s="22">
        <f>I35</f>
        <v/>
      </c>
      <c r="J41" s="22">
        <f>J35</f>
        <v/>
      </c>
      <c r="K41" s="22">
        <f>K35</f>
        <v/>
      </c>
      <c r="L41" s="22">
        <f>L35</f>
        <v/>
      </c>
      <c r="M41" s="22">
        <f>M35</f>
        <v/>
      </c>
      <c r="N41" s="22">
        <f>N35</f>
        <v/>
      </c>
      <c r="O41" s="22">
        <f>O35</f>
        <v/>
      </c>
      <c r="P41" s="22">
        <f>P35</f>
        <v/>
      </c>
      <c r="Q41" s="22">
        <f>Q35</f>
        <v/>
      </c>
      <c r="R41" s="22">
        <f>R35</f>
        <v/>
      </c>
      <c r="S41" s="22">
        <f>S35</f>
        <v/>
      </c>
      <c r="T41" s="22">
        <f>T35</f>
        <v/>
      </c>
      <c r="U41" s="22">
        <f>U35</f>
        <v/>
      </c>
      <c r="V41" s="22">
        <f>V35</f>
        <v/>
      </c>
      <c r="W41" s="22">
        <f>W35</f>
        <v/>
      </c>
    </row>
    <row r="42">
      <c r="A42" s="7" t="inlineStr">
        <is>
          <t>Ingresos cobrados</t>
        </is>
      </c>
      <c r="C42" s="22">
        <f>C36</f>
        <v/>
      </c>
      <c r="D42" s="22">
        <f>D36</f>
        <v/>
      </c>
      <c r="E42" s="22">
        <f>E36</f>
        <v/>
      </c>
      <c r="F42" s="22">
        <f>F36</f>
        <v/>
      </c>
      <c r="G42" s="22">
        <f>G36</f>
        <v/>
      </c>
      <c r="H42" s="22">
        <f>H36</f>
        <v/>
      </c>
      <c r="I42" s="22">
        <f>I36</f>
        <v/>
      </c>
      <c r="J42" s="22">
        <f>J36</f>
        <v/>
      </c>
      <c r="K42" s="22">
        <f>K36</f>
        <v/>
      </c>
      <c r="L42" s="22">
        <f>L36</f>
        <v/>
      </c>
      <c r="M42" s="22">
        <f>M36</f>
        <v/>
      </c>
      <c r="N42" s="22">
        <f>N36</f>
        <v/>
      </c>
      <c r="O42" s="22">
        <f>O36</f>
        <v/>
      </c>
      <c r="P42" s="22">
        <f>P36</f>
        <v/>
      </c>
      <c r="Q42" s="22">
        <f>Q36</f>
        <v/>
      </c>
      <c r="R42" s="22">
        <f>R36</f>
        <v/>
      </c>
      <c r="S42" s="22">
        <f>S36</f>
        <v/>
      </c>
      <c r="T42" s="22">
        <f>T36</f>
        <v/>
      </c>
      <c r="U42" s="22">
        <f>U36</f>
        <v/>
      </c>
      <c r="V42" s="22">
        <f>V36</f>
        <v/>
      </c>
      <c r="W42" s="22">
        <f>W36</f>
        <v/>
      </c>
    </row>
    <row r="43">
      <c r="A43" s="7" t="inlineStr">
        <is>
          <t>Gastos</t>
        </is>
      </c>
      <c r="C43" s="22">
        <f>C37</f>
        <v/>
      </c>
      <c r="D43" s="22">
        <f>D37</f>
        <v/>
      </c>
      <c r="E43" s="22">
        <f>E37</f>
        <v/>
      </c>
      <c r="F43" s="22">
        <f>F37</f>
        <v/>
      </c>
      <c r="G43" s="22">
        <f>G37</f>
        <v/>
      </c>
      <c r="H43" s="22">
        <f>H37</f>
        <v/>
      </c>
      <c r="I43" s="22">
        <f>I37</f>
        <v/>
      </c>
      <c r="J43" s="22">
        <f>J37</f>
        <v/>
      </c>
      <c r="K43" s="22">
        <f>K37</f>
        <v/>
      </c>
      <c r="L43" s="22">
        <f>L37</f>
        <v/>
      </c>
      <c r="M43" s="22">
        <f>M37</f>
        <v/>
      </c>
      <c r="N43" s="22">
        <f>N37</f>
        <v/>
      </c>
      <c r="O43" s="22">
        <f>O37</f>
        <v/>
      </c>
      <c r="P43" s="22">
        <f>P37</f>
        <v/>
      </c>
      <c r="Q43" s="22">
        <f>Q37</f>
        <v/>
      </c>
      <c r="R43" s="22">
        <f>R37</f>
        <v/>
      </c>
      <c r="S43" s="22">
        <f>S37</f>
        <v/>
      </c>
      <c r="T43" s="22">
        <f>T37</f>
        <v/>
      </c>
      <c r="U43" s="22">
        <f>U37</f>
        <v/>
      </c>
      <c r="V43" s="22">
        <f>V37</f>
        <v/>
      </c>
      <c r="W43" s="22">
        <f>W37</f>
        <v/>
      </c>
    </row>
    <row r="44">
      <c r="A44" s="7" t="inlineStr">
        <is>
          <t>Impuestos</t>
        </is>
      </c>
      <c r="C44" s="22">
        <f>C38</f>
        <v/>
      </c>
      <c r="D44" s="22">
        <f>D38</f>
        <v/>
      </c>
      <c r="E44" s="22">
        <f>E38</f>
        <v/>
      </c>
      <c r="F44" s="22">
        <f>F38</f>
        <v/>
      </c>
      <c r="G44" s="22">
        <f>G38</f>
        <v/>
      </c>
      <c r="H44" s="22">
        <f>H38</f>
        <v/>
      </c>
      <c r="I44" s="22">
        <f>I38</f>
        <v/>
      </c>
      <c r="J44" s="22">
        <f>J38</f>
        <v/>
      </c>
      <c r="K44" s="22">
        <f>K38</f>
        <v/>
      </c>
      <c r="L44" s="22">
        <f>L38</f>
        <v/>
      </c>
      <c r="M44" s="22">
        <f>M38</f>
        <v/>
      </c>
      <c r="N44" s="22">
        <f>N38</f>
        <v/>
      </c>
      <c r="O44" s="22">
        <f>O38</f>
        <v/>
      </c>
      <c r="P44" s="22">
        <f>P38</f>
        <v/>
      </c>
      <c r="Q44" s="22">
        <f>Q38</f>
        <v/>
      </c>
      <c r="R44" s="22">
        <f>R38</f>
        <v/>
      </c>
      <c r="S44" s="22">
        <f>S38</f>
        <v/>
      </c>
      <c r="T44" s="22">
        <f>T38</f>
        <v/>
      </c>
      <c r="U44" s="22">
        <f>U38</f>
        <v/>
      </c>
      <c r="V44" s="22">
        <f>V38</f>
        <v/>
      </c>
      <c r="W44" s="22">
        <f>W38</f>
        <v/>
      </c>
    </row>
    <row r="45">
      <c r="A45" s="7" t="inlineStr">
        <is>
          <t>Reposiciones</t>
        </is>
      </c>
      <c r="C45" s="22">
        <f>C39</f>
        <v/>
      </c>
      <c r="D45" s="22">
        <f>D39</f>
        <v/>
      </c>
      <c r="E45" s="22">
        <f>E39</f>
        <v/>
      </c>
      <c r="F45" s="22">
        <f>F39</f>
        <v/>
      </c>
      <c r="G45" s="22">
        <f>G39</f>
        <v/>
      </c>
      <c r="H45" s="22">
        <f>H39</f>
        <v/>
      </c>
      <c r="I45" s="22">
        <f>I39</f>
        <v/>
      </c>
      <c r="J45" s="22">
        <f>J39</f>
        <v/>
      </c>
      <c r="K45" s="22">
        <f>K39</f>
        <v/>
      </c>
      <c r="L45" s="22">
        <f>L39</f>
        <v/>
      </c>
      <c r="M45" s="22">
        <f>M39</f>
        <v/>
      </c>
      <c r="N45" s="22">
        <f>N39</f>
        <v/>
      </c>
      <c r="O45" s="22">
        <f>O39</f>
        <v/>
      </c>
      <c r="P45" s="22">
        <f>P39</f>
        <v/>
      </c>
      <c r="Q45" s="22">
        <f>Q39</f>
        <v/>
      </c>
      <c r="R45" s="22">
        <f>R39</f>
        <v/>
      </c>
      <c r="S45" s="22">
        <f>S39</f>
        <v/>
      </c>
      <c r="T45" s="22">
        <f>T39</f>
        <v/>
      </c>
      <c r="U45" s="22">
        <f>U39</f>
        <v/>
      </c>
      <c r="V45" s="22">
        <f>V39</f>
        <v/>
      </c>
      <c r="W45" s="22">
        <f>W39</f>
        <v/>
      </c>
    </row>
    <row r="46">
      <c r="A46" s="7" t="inlineStr">
        <is>
          <t>Valor residual (año 20)</t>
        </is>
      </c>
      <c r="C46" s="22">
        <f>C40</f>
        <v/>
      </c>
      <c r="D46" s="22">
        <f>D40</f>
        <v/>
      </c>
      <c r="E46" s="22">
        <f>E40</f>
        <v/>
      </c>
      <c r="F46" s="22">
        <f>F40</f>
        <v/>
      </c>
      <c r="G46" s="22">
        <f>G40</f>
        <v/>
      </c>
      <c r="H46" s="22">
        <f>H40</f>
        <v/>
      </c>
      <c r="I46" s="22">
        <f>I40</f>
        <v/>
      </c>
      <c r="J46" s="22">
        <f>J40</f>
        <v/>
      </c>
      <c r="K46" s="22">
        <f>K40</f>
        <v/>
      </c>
      <c r="L46" s="22">
        <f>L40</f>
        <v/>
      </c>
      <c r="M46" s="22">
        <f>M40</f>
        <v/>
      </c>
      <c r="N46" s="22">
        <f>N40</f>
        <v/>
      </c>
      <c r="O46" s="22">
        <f>O40</f>
        <v/>
      </c>
      <c r="P46" s="22">
        <f>P40</f>
        <v/>
      </c>
      <c r="Q46" s="22">
        <f>Q40</f>
        <v/>
      </c>
      <c r="R46" s="22">
        <f>R40</f>
        <v/>
      </c>
      <c r="S46" s="22">
        <f>S40</f>
        <v/>
      </c>
      <c r="T46" s="22">
        <f>T40</f>
        <v/>
      </c>
      <c r="U46" s="22">
        <f>U40</f>
        <v/>
      </c>
      <c r="V46" s="22">
        <f>V40</f>
        <v/>
      </c>
      <c r="W46" s="22">
        <f>W40</f>
        <v/>
      </c>
    </row>
    <row r="47">
      <c r="A47" s="7" t="inlineStr">
        <is>
          <t>FLUJO NETO</t>
        </is>
      </c>
      <c r="C47" s="8">
        <f>C41+C42+C43+C44+C45+C46</f>
        <v/>
      </c>
      <c r="D47" s="8">
        <f>D41+D42+D43+D44+D45+D46</f>
        <v/>
      </c>
      <c r="E47" s="8">
        <f>E41+E42+E43+E44+E45+E46</f>
        <v/>
      </c>
      <c r="F47" s="8">
        <f>F41+F42+F43+F44+F45+F46</f>
        <v/>
      </c>
      <c r="G47" s="8">
        <f>G41+G42+G43+G44+G45+G46</f>
        <v/>
      </c>
      <c r="H47" s="8">
        <f>H41+H42+H43+H44+H45+H46</f>
        <v/>
      </c>
      <c r="I47" s="8">
        <f>I41+I42+I43+I44+I45+I46</f>
        <v/>
      </c>
      <c r="J47" s="8">
        <f>J41+J42+J43+J44+J45+J46</f>
        <v/>
      </c>
      <c r="K47" s="8">
        <f>K41+K42+K43+K44+K45+K46</f>
        <v/>
      </c>
      <c r="L47" s="8">
        <f>L41+L42+L43+L44+L45+L46</f>
        <v/>
      </c>
      <c r="M47" s="8">
        <f>M41+M42+M43+M44+M45+M46</f>
        <v/>
      </c>
      <c r="N47" s="8">
        <f>N41+N42+N43+N44+N45+N46</f>
        <v/>
      </c>
      <c r="O47" s="8">
        <f>O41+O42+O43+O44+O45+O46</f>
        <v/>
      </c>
      <c r="P47" s="8">
        <f>P41+P42+P43+P44+P45+P46</f>
        <v/>
      </c>
      <c r="Q47" s="8">
        <f>Q41+Q42+Q43+Q44+Q45+Q46</f>
        <v/>
      </c>
      <c r="R47" s="8">
        <f>R41+R42+R43+R44+R45+R46</f>
        <v/>
      </c>
      <c r="S47" s="8">
        <f>S41+S42+S43+S44+S45+S46</f>
        <v/>
      </c>
      <c r="T47" s="8">
        <f>T41+T42+T43+T44+T45+T46</f>
        <v/>
      </c>
      <c r="U47" s="8">
        <f>U41+U42+U43+U44+U45+U46</f>
        <v/>
      </c>
      <c r="V47" s="8">
        <f>V41+V42+V43+V44+V45+V46</f>
        <v/>
      </c>
      <c r="W47" s="8">
        <f>W41+W42+W43+W44+W45+W46</f>
        <v/>
      </c>
    </row>
    <row r="48">
      <c r="A48" s="7" t="inlineStr">
        <is>
          <t>Caja acumulada (sin valor residual)</t>
        </is>
      </c>
      <c r="C48" s="14">
        <f>C47-C46</f>
        <v/>
      </c>
      <c r="D48" s="14">
        <f>C48+D47-D46</f>
        <v/>
      </c>
      <c r="E48" s="14">
        <f>D48+E47-E46</f>
        <v/>
      </c>
      <c r="F48" s="14">
        <f>E48+F47-F46</f>
        <v/>
      </c>
      <c r="G48" s="14">
        <f>F48+G47-G46</f>
        <v/>
      </c>
      <c r="H48" s="14">
        <f>G48+H47-H46</f>
        <v/>
      </c>
      <c r="I48" s="14">
        <f>H48+I47-I46</f>
        <v/>
      </c>
      <c r="J48" s="14">
        <f>I48+J47-J46</f>
        <v/>
      </c>
      <c r="K48" s="14">
        <f>J48+K47-K46</f>
        <v/>
      </c>
      <c r="L48" s="14">
        <f>K48+L47-L46</f>
        <v/>
      </c>
      <c r="M48" s="14">
        <f>L48+M47-M46</f>
        <v/>
      </c>
      <c r="N48" s="14">
        <f>M48+N47-N46</f>
        <v/>
      </c>
      <c r="O48" s="14">
        <f>N48+O47-O46</f>
        <v/>
      </c>
      <c r="P48" s="14">
        <f>O48+P47-P46</f>
        <v/>
      </c>
      <c r="Q48" s="14">
        <f>P48+Q47-Q46</f>
        <v/>
      </c>
      <c r="R48" s="14">
        <f>Q48+R47-R46</f>
        <v/>
      </c>
      <c r="S48" s="14">
        <f>R48+S47-S46</f>
        <v/>
      </c>
      <c r="T48" s="14">
        <f>S48+T47-T46</f>
        <v/>
      </c>
      <c r="U48" s="14">
        <f>T48+U47-U46</f>
        <v/>
      </c>
      <c r="V48" s="14">
        <f>U48+V47-V46</f>
        <v/>
      </c>
      <c r="W48" s="14">
        <f>V48+W47-W46</f>
        <v/>
      </c>
    </row>
    <row r="49">
      <c r="A49" s="7" t="inlineStr">
        <is>
          <t>Flujo del propietario contando el terreno (lo aporta hoy y lo recupera valorizado)</t>
        </is>
      </c>
      <c r="C49" s="14">
        <f>C47-Supuestos!$B$21</f>
        <v/>
      </c>
      <c r="D49" s="14">
        <f>D47</f>
        <v/>
      </c>
      <c r="E49" s="14">
        <f>E47</f>
        <v/>
      </c>
      <c r="F49" s="14">
        <f>F47</f>
        <v/>
      </c>
      <c r="G49" s="14">
        <f>G47</f>
        <v/>
      </c>
      <c r="H49" s="14">
        <f>H47</f>
        <v/>
      </c>
      <c r="I49" s="14">
        <f>I47</f>
        <v/>
      </c>
      <c r="J49" s="14">
        <f>J47</f>
        <v/>
      </c>
      <c r="K49" s="14">
        <f>K47</f>
        <v/>
      </c>
      <c r="L49" s="14">
        <f>L47</f>
        <v/>
      </c>
      <c r="M49" s="14">
        <f>M47</f>
        <v/>
      </c>
      <c r="N49" s="14">
        <f>N47</f>
        <v/>
      </c>
      <c r="O49" s="14">
        <f>O47</f>
        <v/>
      </c>
      <c r="P49" s="14">
        <f>P47</f>
        <v/>
      </c>
      <c r="Q49" s="14">
        <f>Q47</f>
        <v/>
      </c>
      <c r="R49" s="14">
        <f>R47</f>
        <v/>
      </c>
      <c r="S49" s="14">
        <f>S47</f>
        <v/>
      </c>
      <c r="T49" s="14">
        <f>T47</f>
        <v/>
      </c>
      <c r="U49" s="14">
        <f>U47</f>
        <v/>
      </c>
      <c r="V49" s="14">
        <f>V47</f>
        <v/>
      </c>
      <c r="W49" s="14">
        <f>W47+Supuestos!$B$21*(1+Supuestos!$B$23)^20</f>
        <v/>
      </c>
    </row>
    <row r="51">
      <c r="A51" s="7" t="inlineStr">
        <is>
          <t>Inversión total</t>
        </is>
      </c>
      <c r="C51" s="8">
        <f>-SUM(C41:W41)</f>
        <v/>
      </c>
    </row>
    <row r="52">
      <c r="A52" s="7" t="inlineStr">
        <is>
          <t>VAN al 10%</t>
        </is>
      </c>
      <c r="C52" s="8">
        <f>C47+NPV(Supuestos!$B$4,D47:W47)</f>
        <v/>
      </c>
    </row>
    <row r="53">
      <c r="A53" s="7" t="inlineStr">
        <is>
          <t>TIR</t>
        </is>
      </c>
      <c r="C53" s="23">
        <f>IFERROR(IRR(C47:W47),IFERROR(IRR(C47:W47,-0.05),"no aplica"))</f>
        <v/>
      </c>
    </row>
    <row r="54">
      <c r="A54" s="7" t="inlineStr">
        <is>
          <t>Año en que se recupera la inversión (acumulado ≥ 0)</t>
        </is>
      </c>
      <c r="C54" s="24">
        <f>IF(-SUM(C41:W41)=0,"sin inversión",IFERROR(INDEX(C34:W34,MATCH(TRUE,INDEX(C48:W48&gt;=0,0),0)),"no en 20 años"))</f>
        <v/>
      </c>
    </row>
    <row r="55">
      <c r="A55" s="7" t="inlineStr">
        <is>
          <t>Caja neta del año 5 sin inversiones (S/ nominales)</t>
        </is>
      </c>
      <c r="C55" s="8">
        <f>H47-H41</f>
        <v/>
      </c>
    </row>
    <row r="56">
      <c r="A56" s="7" t="inlineStr">
        <is>
          <t>TIR contando el terreno</t>
        </is>
      </c>
      <c r="C56" s="23">
        <f>IFERROR(IRR(C49:W49),"no aplica")</f>
        <v/>
      </c>
    </row>
  </sheetData>
  <mergeCells count="1"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C1. Local de esquina + cochera de abonados</t>
        </is>
      </c>
    </row>
    <row r="2" ht="30" customHeight="1">
      <c r="A2" s="17" t="inlineStr">
        <is>
          <t>Solo el local ancla de 100 m² en la esquina (estructura para 3 pisos) y la cochera del fondo; los 3 locales del jirón quedan para una etapa posterior.</t>
        </is>
      </c>
    </row>
    <row r="4">
      <c r="A4" s="18" t="inlineStr">
        <is>
          <t>Fase 1: Local de esquina (100 m²)</t>
        </is>
      </c>
    </row>
    <row r="5">
      <c r="A5" s="20" t="inlineStr">
        <is>
          <t>Partida</t>
        </is>
      </c>
      <c r="B5" s="20" t="inlineStr">
        <is>
          <t>Und.</t>
        </is>
      </c>
      <c r="C5" s="20" t="inlineStr">
        <is>
          <t>Cantidad</t>
        </is>
      </c>
      <c r="D5" s="20" t="inlineStr">
        <is>
          <t>P. unitario</t>
        </is>
      </c>
      <c r="E5" s="20" t="inlineStr">
        <is>
          <t>Parcial</t>
        </is>
      </c>
    </row>
    <row r="6">
      <c r="A6" s="17" t="inlineStr">
        <is>
          <t>Local de esquina de 100 m² en pórticos de C.A. diseñados para 3 pisos, puertas enrollables y SS.HH.</t>
        </is>
      </c>
      <c r="B6" t="inlineStr">
        <is>
          <t>m²</t>
        </is>
      </c>
      <c r="C6" s="5" t="n">
        <v>100</v>
      </c>
      <c r="D6" s="6" t="n">
        <v>1500</v>
      </c>
      <c r="E6" s="14">
        <f>C6*D6</f>
        <v/>
      </c>
    </row>
    <row r="7">
      <c r="A7" s="17" t="inlineStr">
        <is>
          <t>Estudio de suelos, proyecto y licencia</t>
        </is>
      </c>
      <c r="B7" t="inlineStr">
        <is>
          <t>glb</t>
        </is>
      </c>
      <c r="C7" s="5" t="n">
        <v>1</v>
      </c>
      <c r="D7" s="6" t="n">
        <v>20000</v>
      </c>
      <c r="E7" s="14">
        <f>C7*D7</f>
        <v/>
      </c>
    </row>
    <row r="8">
      <c r="D8" t="inlineStr">
        <is>
          <t>Inversión (con imprevistos y factor de escenario)</t>
        </is>
      </c>
      <c r="E8" s="8">
        <f>SUM(E6:E7)*(1+Supuestos!$B$6)*Supuestos!$B$22</f>
        <v/>
      </c>
    </row>
    <row r="9">
      <c r="D9" t="inlineStr">
        <is>
          <t>Año de inversión (opera desde el año siguiente)</t>
        </is>
      </c>
      <c r="E9" s="19" t="n">
        <v>0</v>
      </c>
    </row>
    <row r="10">
      <c r="D10" t="inlineStr">
        <is>
          <t>Ingreso bruto potencial S/ por mes - pesimista</t>
        </is>
      </c>
      <c r="E10" s="6" t="n">
        <v>1000</v>
      </c>
    </row>
    <row r="11">
      <c r="D11" t="inlineStr">
        <is>
          <t>Ingreso bruto potencial S/ por mes - base</t>
        </is>
      </c>
      <c r="E11" s="6" t="n">
        <v>1300</v>
      </c>
    </row>
    <row r="12">
      <c r="D12" t="inlineStr">
        <is>
          <t>Ingreso bruto potencial S/ por mes - optimista</t>
        </is>
      </c>
      <c r="E12" s="6" t="n">
        <v>2000</v>
      </c>
    </row>
    <row r="13">
      <c r="D13" t="inlineStr">
        <is>
          <t>Ocupación cobrada - pesimista</t>
        </is>
      </c>
      <c r="E13" s="3" t="n">
        <v>0.7</v>
      </c>
    </row>
    <row r="14">
      <c r="D14" t="inlineStr">
        <is>
          <t>Ocupación cobrada - base</t>
        </is>
      </c>
      <c r="E14" s="3" t="n">
        <v>0.8</v>
      </c>
    </row>
    <row r="15">
      <c r="D15" t="inlineStr">
        <is>
          <t>Ocupación cobrada - optimista</t>
        </is>
      </c>
      <c r="E15" s="3" t="n">
        <v>0.9</v>
      </c>
    </row>
    <row r="16">
      <c r="D16" t="inlineStr">
        <is>
          <t>Gastos fijos S/ por año (personal, energía, mantenimiento, seguro, predial)</t>
        </is>
      </c>
      <c r="E16" s="6" t="n">
        <v>2500</v>
      </c>
    </row>
    <row r="17">
      <c r="D17" t="inlineStr">
        <is>
          <t>Gastos variables (% del ingreso cobrado)</t>
        </is>
      </c>
      <c r="E17" s="3" t="n">
        <v>0</v>
      </c>
    </row>
    <row r="18">
      <c r="D18" t="inlineStr">
        <is>
          <t>Impuestos (% del ingreso cobrado)</t>
        </is>
      </c>
      <c r="E18" s="3" t="n">
        <v>0.05</v>
      </c>
    </row>
    <row r="19">
      <c r="D19" t="inlineStr">
        <is>
          <t>Ingreso relativo 1.er año de operación</t>
        </is>
      </c>
      <c r="E19" s="3" t="n">
        <v>0.5</v>
      </c>
    </row>
    <row r="20">
      <c r="D20" t="inlineStr">
        <is>
          <t>Ingreso relativo 2.º año de operación</t>
        </is>
      </c>
      <c r="E20" s="3" t="n">
        <v>0.8</v>
      </c>
    </row>
    <row r="21">
      <c r="D21" t="inlineStr">
        <is>
          <t>Vida útil para valor residual (años)</t>
        </is>
      </c>
      <c r="E21" s="19" t="n">
        <v>50</v>
      </c>
    </row>
    <row r="23">
      <c r="A23" s="18" t="inlineStr">
        <is>
          <t>Fase 2: Cochera de abonados (fondo, descubierta)</t>
        </is>
      </c>
    </row>
    <row r="24">
      <c r="A24" s="20" t="inlineStr">
        <is>
          <t>Partida</t>
        </is>
      </c>
      <c r="B24" s="20" t="inlineStr">
        <is>
          <t>Und.</t>
        </is>
      </c>
      <c r="C24" s="20" t="inlineStr">
        <is>
          <t>Cantidad</t>
        </is>
      </c>
      <c r="D24" s="20" t="inlineStr">
        <is>
          <t>P. unitario</t>
        </is>
      </c>
      <c r="E24" s="20" t="inlineStr">
        <is>
          <t>Parcial</t>
        </is>
      </c>
    </row>
    <row r="25">
      <c r="A25" s="17" t="inlineStr">
        <is>
          <t>Afirmado compactado e=0.20 m con bombeo</t>
        </is>
      </c>
      <c r="B25" t="inlineStr">
        <is>
          <t>m²</t>
        </is>
      </c>
      <c r="C25" s="5" t="n">
        <v>540</v>
      </c>
      <c r="D25" s="6" t="n">
        <v>40</v>
      </c>
      <c r="E25" s="14">
        <f>C25*D25</f>
        <v/>
      </c>
    </row>
    <row r="26">
      <c r="A26" s="17" t="inlineStr">
        <is>
          <t>Drenaje del patio</t>
        </is>
      </c>
      <c r="B26" t="inlineStr">
        <is>
          <t>ml</t>
        </is>
      </c>
      <c r="C26" s="5" t="n">
        <v>20</v>
      </c>
      <c r="D26" s="6" t="n">
        <v>220</v>
      </c>
      <c r="E26" s="14">
        <f>C26*D26</f>
        <v/>
      </c>
    </row>
    <row r="27">
      <c r="A27" s="17" t="inlineStr">
        <is>
          <t>Portón telescópico automatizado de 6.5 m con 40 controles + puerta peatonal</t>
        </is>
      </c>
      <c r="B27" t="inlineStr">
        <is>
          <t>glb</t>
        </is>
      </c>
      <c r="C27" s="5" t="n">
        <v>1</v>
      </c>
      <c r="D27" s="6" t="n">
        <v>15500</v>
      </c>
      <c r="E27" s="14">
        <f>C27*D27</f>
        <v/>
      </c>
    </row>
    <row r="28">
      <c r="A28" s="17" t="inlineStr">
        <is>
          <t>Cerco de albañilería en el fondo C-D</t>
        </is>
      </c>
      <c r="B28" t="inlineStr">
        <is>
          <t>ml</t>
        </is>
      </c>
      <c r="C28" s="5" t="n">
        <v>30</v>
      </c>
      <c r="D28" s="6" t="n">
        <v>330</v>
      </c>
      <c r="E28" s="14">
        <f>C28*D28</f>
        <v/>
      </c>
    </row>
    <row r="29">
      <c r="A29" s="17" t="inlineStr">
        <is>
          <t>Iluminación LED y CCTV de 4 cámaras</t>
        </is>
      </c>
      <c r="B29" t="inlineStr">
        <is>
          <t>glb</t>
        </is>
      </c>
      <c r="C29" s="5" t="n">
        <v>1</v>
      </c>
      <c r="D29" s="6" t="n">
        <v>7500</v>
      </c>
      <c r="E29" s="14">
        <f>C29*D29</f>
        <v/>
      </c>
    </row>
    <row r="30">
      <c r="A30" s="17" t="inlineStr">
        <is>
          <t>Señalización, numeración y topellantas</t>
        </is>
      </c>
      <c r="B30" t="inlineStr">
        <is>
          <t>glb</t>
        </is>
      </c>
      <c r="C30" s="5" t="n">
        <v>1</v>
      </c>
      <c r="D30" s="6" t="n">
        <v>2400</v>
      </c>
      <c r="E30" s="14">
        <f>C30*D30</f>
        <v/>
      </c>
    </row>
    <row r="31">
      <c r="D31" t="inlineStr">
        <is>
          <t>Inversión (con imprevistos y factor de escenario)</t>
        </is>
      </c>
      <c r="E31" s="8">
        <f>SUM(E25:E30)*(1+Supuestos!$B$6)*Supuestos!$B$22</f>
        <v/>
      </c>
    </row>
    <row r="32">
      <c r="D32" t="inlineStr">
        <is>
          <t>Año de inversión (opera desde el año siguiente)</t>
        </is>
      </c>
      <c r="E32" s="19" t="n">
        <v>0</v>
      </c>
    </row>
    <row r="33">
      <c r="D33" t="inlineStr">
        <is>
          <t>Ingreso bruto potencial S/ por mes - pesimista</t>
        </is>
      </c>
      <c r="E33" s="6" t="n">
        <v>480</v>
      </c>
    </row>
    <row r="34">
      <c r="D34" t="inlineStr">
        <is>
          <t>Ingreso bruto potencial S/ por mes - base</t>
        </is>
      </c>
      <c r="E34" s="6" t="n">
        <v>900</v>
      </c>
    </row>
    <row r="35">
      <c r="D35" t="inlineStr">
        <is>
          <t>Ingreso bruto potencial S/ por mes - optimista</t>
        </is>
      </c>
      <c r="E35" s="6" t="n">
        <v>1440</v>
      </c>
    </row>
    <row r="36">
      <c r="D36" t="inlineStr">
        <is>
          <t>Ocupación cobrada - pesimista</t>
        </is>
      </c>
      <c r="E36" s="3" t="n">
        <v>0.6</v>
      </c>
    </row>
    <row r="37">
      <c r="D37" t="inlineStr">
        <is>
          <t>Ocupación cobrada - base</t>
        </is>
      </c>
      <c r="E37" s="3" t="n">
        <v>0.7</v>
      </c>
    </row>
    <row r="38">
      <c r="D38" t="inlineStr">
        <is>
          <t>Ocupación cobrada - optimista</t>
        </is>
      </c>
      <c r="E38" s="3" t="n">
        <v>0.8</v>
      </c>
    </row>
    <row r="39">
      <c r="D39" t="inlineStr">
        <is>
          <t>Gastos fijos S/ por año (personal, energía, mantenimiento, seguro, predial)</t>
        </is>
      </c>
      <c r="E39" s="6" t="n">
        <v>3200</v>
      </c>
    </row>
    <row r="40">
      <c r="D40" t="inlineStr">
        <is>
          <t>Gastos variables (% del ingreso cobrado)</t>
        </is>
      </c>
      <c r="E40" s="3" t="n">
        <v>0</v>
      </c>
    </row>
    <row r="41">
      <c r="D41" t="inlineStr">
        <is>
          <t>Impuestos (% del ingreso cobrado)</t>
        </is>
      </c>
      <c r="E41" s="3" t="n">
        <v>0</v>
      </c>
    </row>
    <row r="42">
      <c r="D42" t="inlineStr">
        <is>
          <t>Ingreso relativo 1.er año de operación</t>
        </is>
      </c>
      <c r="E42" s="3" t="n">
        <v>0.6</v>
      </c>
    </row>
    <row r="43">
      <c r="D43" t="inlineStr">
        <is>
          <t>Ingreso relativo 2.º año de operación</t>
        </is>
      </c>
      <c r="E43" s="3" t="n">
        <v>0.85</v>
      </c>
    </row>
    <row r="44">
      <c r="D44" t="inlineStr">
        <is>
          <t>Vida útil para valor residual (años)</t>
        </is>
      </c>
      <c r="E44" s="19" t="n">
        <v>10</v>
      </c>
    </row>
    <row r="45">
      <c r="D45" t="inlineStr">
        <is>
          <t>Reposición 1: años después de invertir</t>
        </is>
      </c>
      <c r="E45" s="19" t="n">
        <v>10</v>
      </c>
    </row>
    <row r="46">
      <c r="D46" t="inlineStr">
        <is>
          <t>Reposición 1: monto a precios de hoy</t>
        </is>
      </c>
      <c r="E46" s="6" t="n">
        <v>33330</v>
      </c>
    </row>
    <row r="48">
      <c r="A48" s="7" t="inlineStr">
        <is>
          <t>FLUJO DE CAJA (S/ nominales)</t>
        </is>
      </c>
    </row>
    <row r="49">
      <c r="A49" s="20" t="inlineStr">
        <is>
          <t>Concepto / año</t>
        </is>
      </c>
      <c r="C49" s="20" t="n">
        <v>0</v>
      </c>
      <c r="D49" s="20" t="n">
        <v>1</v>
      </c>
      <c r="E49" s="20" t="n">
        <v>2</v>
      </c>
      <c r="F49" s="20" t="n">
        <v>3</v>
      </c>
      <c r="G49" s="20" t="n">
        <v>4</v>
      </c>
      <c r="H49" s="20" t="n">
        <v>5</v>
      </c>
      <c r="I49" s="20" t="n">
        <v>6</v>
      </c>
      <c r="J49" s="20" t="n">
        <v>7</v>
      </c>
      <c r="K49" s="20" t="n">
        <v>8</v>
      </c>
      <c r="L49" s="20" t="n">
        <v>9</v>
      </c>
      <c r="M49" s="20" t="n">
        <v>10</v>
      </c>
      <c r="N49" s="20" t="n">
        <v>11</v>
      </c>
      <c r="O49" s="20" t="n">
        <v>12</v>
      </c>
      <c r="P49" s="20" t="n">
        <v>13</v>
      </c>
      <c r="Q49" s="20" t="n">
        <v>14</v>
      </c>
      <c r="R49" s="20" t="n">
        <v>15</v>
      </c>
      <c r="S49" s="20" t="n">
        <v>16</v>
      </c>
      <c r="T49" s="20" t="n">
        <v>17</v>
      </c>
      <c r="U49" s="20" t="n">
        <v>18</v>
      </c>
      <c r="V49" s="20" t="n">
        <v>19</v>
      </c>
      <c r="W49" s="20" t="n">
        <v>20</v>
      </c>
    </row>
    <row r="50">
      <c r="A50" s="21" t="inlineStr">
        <is>
          <t xml:space="preserve">  Inversión - fase 1</t>
        </is>
      </c>
      <c r="C50" s="14">
        <f>IF(C$49=$E$9,-$E$8*(1+Supuestos!$B$5)^MAX($E$9-1,0),0)</f>
        <v/>
      </c>
      <c r="D50" s="14">
        <f>IF(D$49=$E$9,-$E$8*(1+Supuestos!$B$5)^MAX($E$9-1,0),0)</f>
        <v/>
      </c>
      <c r="E50" s="14">
        <f>IF(E$49=$E$9,-$E$8*(1+Supuestos!$B$5)^MAX($E$9-1,0),0)</f>
        <v/>
      </c>
      <c r="F50" s="14">
        <f>IF(F$49=$E$9,-$E$8*(1+Supuestos!$B$5)^MAX($E$9-1,0),0)</f>
        <v/>
      </c>
      <c r="G50" s="14">
        <f>IF(G$49=$E$9,-$E$8*(1+Supuestos!$B$5)^MAX($E$9-1,0),0)</f>
        <v/>
      </c>
      <c r="H50" s="14">
        <f>IF(H$49=$E$9,-$E$8*(1+Supuestos!$B$5)^MAX($E$9-1,0),0)</f>
        <v/>
      </c>
      <c r="I50" s="14">
        <f>IF(I$49=$E$9,-$E$8*(1+Supuestos!$B$5)^MAX($E$9-1,0),0)</f>
        <v/>
      </c>
      <c r="J50" s="14">
        <f>IF(J$49=$E$9,-$E$8*(1+Supuestos!$B$5)^MAX($E$9-1,0),0)</f>
        <v/>
      </c>
      <c r="K50" s="14">
        <f>IF(K$49=$E$9,-$E$8*(1+Supuestos!$B$5)^MAX($E$9-1,0),0)</f>
        <v/>
      </c>
      <c r="L50" s="14">
        <f>IF(L$49=$E$9,-$E$8*(1+Supuestos!$B$5)^MAX($E$9-1,0),0)</f>
        <v/>
      </c>
      <c r="M50" s="14">
        <f>IF(M$49=$E$9,-$E$8*(1+Supuestos!$B$5)^MAX($E$9-1,0),0)</f>
        <v/>
      </c>
      <c r="N50" s="14">
        <f>IF(N$49=$E$9,-$E$8*(1+Supuestos!$B$5)^MAX($E$9-1,0),0)</f>
        <v/>
      </c>
      <c r="O50" s="14">
        <f>IF(O$49=$E$9,-$E$8*(1+Supuestos!$B$5)^MAX($E$9-1,0),0)</f>
        <v/>
      </c>
      <c r="P50" s="14">
        <f>IF(P$49=$E$9,-$E$8*(1+Supuestos!$B$5)^MAX($E$9-1,0),0)</f>
        <v/>
      </c>
      <c r="Q50" s="14">
        <f>IF(Q$49=$E$9,-$E$8*(1+Supuestos!$B$5)^MAX($E$9-1,0),0)</f>
        <v/>
      </c>
      <c r="R50" s="14">
        <f>IF(R$49=$E$9,-$E$8*(1+Supuestos!$B$5)^MAX($E$9-1,0),0)</f>
        <v/>
      </c>
      <c r="S50" s="14">
        <f>IF(S$49=$E$9,-$E$8*(1+Supuestos!$B$5)^MAX($E$9-1,0),0)</f>
        <v/>
      </c>
      <c r="T50" s="14">
        <f>IF(T$49=$E$9,-$E$8*(1+Supuestos!$B$5)^MAX($E$9-1,0),0)</f>
        <v/>
      </c>
      <c r="U50" s="14">
        <f>IF(U$49=$E$9,-$E$8*(1+Supuestos!$B$5)^MAX($E$9-1,0),0)</f>
        <v/>
      </c>
      <c r="V50" s="14">
        <f>IF(V$49=$E$9,-$E$8*(1+Supuestos!$B$5)^MAX($E$9-1,0),0)</f>
        <v/>
      </c>
      <c r="W50" s="14">
        <f>IF(W$49=$E$9,-$E$8*(1+Supuestos!$B$5)^MAX($E$9-1,0),0)</f>
        <v/>
      </c>
    </row>
    <row r="51">
      <c r="A51" s="21" t="inlineStr">
        <is>
          <t xml:space="preserve">  Ingresos cobrados - fase 1</t>
        </is>
      </c>
      <c r="C51" s="14">
        <f>IF((C$49-$E$9)&gt;=1,CHOOSE(Supuestos!$B$3,$E$10,$E$11,$E$12)*12*CHOOSE(Supuestos!$B$3,$E$13,$E$14,$E$15)*IF((C$49-$E$9)=1,$E$19,IF((C$49-$E$9)=2,$E$20,1))*(1+Supuestos!$B$5)^MAX(C$49-1,0),0)</f>
        <v/>
      </c>
      <c r="D51" s="14">
        <f>IF((D$49-$E$9)&gt;=1,CHOOSE(Supuestos!$B$3,$E$10,$E$11,$E$12)*12*CHOOSE(Supuestos!$B$3,$E$13,$E$14,$E$15)*IF((D$49-$E$9)=1,$E$19,IF((D$49-$E$9)=2,$E$20,1))*(1+Supuestos!$B$5)^MAX(D$49-1,0),0)</f>
        <v/>
      </c>
      <c r="E51" s="14">
        <f>IF((E$49-$E$9)&gt;=1,CHOOSE(Supuestos!$B$3,$E$10,$E$11,$E$12)*12*CHOOSE(Supuestos!$B$3,$E$13,$E$14,$E$15)*IF((E$49-$E$9)=1,$E$19,IF((E$49-$E$9)=2,$E$20,1))*(1+Supuestos!$B$5)^MAX(E$49-1,0),0)</f>
        <v/>
      </c>
      <c r="F51" s="14">
        <f>IF((F$49-$E$9)&gt;=1,CHOOSE(Supuestos!$B$3,$E$10,$E$11,$E$12)*12*CHOOSE(Supuestos!$B$3,$E$13,$E$14,$E$15)*IF((F$49-$E$9)=1,$E$19,IF((F$49-$E$9)=2,$E$20,1))*(1+Supuestos!$B$5)^MAX(F$49-1,0),0)</f>
        <v/>
      </c>
      <c r="G51" s="14">
        <f>IF((G$49-$E$9)&gt;=1,CHOOSE(Supuestos!$B$3,$E$10,$E$11,$E$12)*12*CHOOSE(Supuestos!$B$3,$E$13,$E$14,$E$15)*IF((G$49-$E$9)=1,$E$19,IF((G$49-$E$9)=2,$E$20,1))*(1+Supuestos!$B$5)^MAX(G$49-1,0),0)</f>
        <v/>
      </c>
      <c r="H51" s="14">
        <f>IF((H$49-$E$9)&gt;=1,CHOOSE(Supuestos!$B$3,$E$10,$E$11,$E$12)*12*CHOOSE(Supuestos!$B$3,$E$13,$E$14,$E$15)*IF((H$49-$E$9)=1,$E$19,IF((H$49-$E$9)=2,$E$20,1))*(1+Supuestos!$B$5)^MAX(H$49-1,0),0)</f>
        <v/>
      </c>
      <c r="I51" s="14">
        <f>IF((I$49-$E$9)&gt;=1,CHOOSE(Supuestos!$B$3,$E$10,$E$11,$E$12)*12*CHOOSE(Supuestos!$B$3,$E$13,$E$14,$E$15)*IF((I$49-$E$9)=1,$E$19,IF((I$49-$E$9)=2,$E$20,1))*(1+Supuestos!$B$5)^MAX(I$49-1,0),0)</f>
        <v/>
      </c>
      <c r="J51" s="14">
        <f>IF((J$49-$E$9)&gt;=1,CHOOSE(Supuestos!$B$3,$E$10,$E$11,$E$12)*12*CHOOSE(Supuestos!$B$3,$E$13,$E$14,$E$15)*IF((J$49-$E$9)=1,$E$19,IF((J$49-$E$9)=2,$E$20,1))*(1+Supuestos!$B$5)^MAX(J$49-1,0),0)</f>
        <v/>
      </c>
      <c r="K51" s="14">
        <f>IF((K$49-$E$9)&gt;=1,CHOOSE(Supuestos!$B$3,$E$10,$E$11,$E$12)*12*CHOOSE(Supuestos!$B$3,$E$13,$E$14,$E$15)*IF((K$49-$E$9)=1,$E$19,IF((K$49-$E$9)=2,$E$20,1))*(1+Supuestos!$B$5)^MAX(K$49-1,0),0)</f>
        <v/>
      </c>
      <c r="L51" s="14">
        <f>IF((L$49-$E$9)&gt;=1,CHOOSE(Supuestos!$B$3,$E$10,$E$11,$E$12)*12*CHOOSE(Supuestos!$B$3,$E$13,$E$14,$E$15)*IF((L$49-$E$9)=1,$E$19,IF((L$49-$E$9)=2,$E$20,1))*(1+Supuestos!$B$5)^MAX(L$49-1,0),0)</f>
        <v/>
      </c>
      <c r="M51" s="14">
        <f>IF((M$49-$E$9)&gt;=1,CHOOSE(Supuestos!$B$3,$E$10,$E$11,$E$12)*12*CHOOSE(Supuestos!$B$3,$E$13,$E$14,$E$15)*IF((M$49-$E$9)=1,$E$19,IF((M$49-$E$9)=2,$E$20,1))*(1+Supuestos!$B$5)^MAX(M$49-1,0),0)</f>
        <v/>
      </c>
      <c r="N51" s="14">
        <f>IF((N$49-$E$9)&gt;=1,CHOOSE(Supuestos!$B$3,$E$10,$E$11,$E$12)*12*CHOOSE(Supuestos!$B$3,$E$13,$E$14,$E$15)*IF((N$49-$E$9)=1,$E$19,IF((N$49-$E$9)=2,$E$20,1))*(1+Supuestos!$B$5)^MAX(N$49-1,0),0)</f>
        <v/>
      </c>
      <c r="O51" s="14">
        <f>IF((O$49-$E$9)&gt;=1,CHOOSE(Supuestos!$B$3,$E$10,$E$11,$E$12)*12*CHOOSE(Supuestos!$B$3,$E$13,$E$14,$E$15)*IF((O$49-$E$9)=1,$E$19,IF((O$49-$E$9)=2,$E$20,1))*(1+Supuestos!$B$5)^MAX(O$49-1,0),0)</f>
        <v/>
      </c>
      <c r="P51" s="14">
        <f>IF((P$49-$E$9)&gt;=1,CHOOSE(Supuestos!$B$3,$E$10,$E$11,$E$12)*12*CHOOSE(Supuestos!$B$3,$E$13,$E$14,$E$15)*IF((P$49-$E$9)=1,$E$19,IF((P$49-$E$9)=2,$E$20,1))*(1+Supuestos!$B$5)^MAX(P$49-1,0),0)</f>
        <v/>
      </c>
      <c r="Q51" s="14">
        <f>IF((Q$49-$E$9)&gt;=1,CHOOSE(Supuestos!$B$3,$E$10,$E$11,$E$12)*12*CHOOSE(Supuestos!$B$3,$E$13,$E$14,$E$15)*IF((Q$49-$E$9)=1,$E$19,IF((Q$49-$E$9)=2,$E$20,1))*(1+Supuestos!$B$5)^MAX(Q$49-1,0),0)</f>
        <v/>
      </c>
      <c r="R51" s="14">
        <f>IF((R$49-$E$9)&gt;=1,CHOOSE(Supuestos!$B$3,$E$10,$E$11,$E$12)*12*CHOOSE(Supuestos!$B$3,$E$13,$E$14,$E$15)*IF((R$49-$E$9)=1,$E$19,IF((R$49-$E$9)=2,$E$20,1))*(1+Supuestos!$B$5)^MAX(R$49-1,0),0)</f>
        <v/>
      </c>
      <c r="S51" s="14">
        <f>IF((S$49-$E$9)&gt;=1,CHOOSE(Supuestos!$B$3,$E$10,$E$11,$E$12)*12*CHOOSE(Supuestos!$B$3,$E$13,$E$14,$E$15)*IF((S$49-$E$9)=1,$E$19,IF((S$49-$E$9)=2,$E$20,1))*(1+Supuestos!$B$5)^MAX(S$49-1,0),0)</f>
        <v/>
      </c>
      <c r="T51" s="14">
        <f>IF((T$49-$E$9)&gt;=1,CHOOSE(Supuestos!$B$3,$E$10,$E$11,$E$12)*12*CHOOSE(Supuestos!$B$3,$E$13,$E$14,$E$15)*IF((T$49-$E$9)=1,$E$19,IF((T$49-$E$9)=2,$E$20,1))*(1+Supuestos!$B$5)^MAX(T$49-1,0),0)</f>
        <v/>
      </c>
      <c r="U51" s="14">
        <f>IF((U$49-$E$9)&gt;=1,CHOOSE(Supuestos!$B$3,$E$10,$E$11,$E$12)*12*CHOOSE(Supuestos!$B$3,$E$13,$E$14,$E$15)*IF((U$49-$E$9)=1,$E$19,IF((U$49-$E$9)=2,$E$20,1))*(1+Supuestos!$B$5)^MAX(U$49-1,0),0)</f>
        <v/>
      </c>
      <c r="V51" s="14">
        <f>IF((V$49-$E$9)&gt;=1,CHOOSE(Supuestos!$B$3,$E$10,$E$11,$E$12)*12*CHOOSE(Supuestos!$B$3,$E$13,$E$14,$E$15)*IF((V$49-$E$9)=1,$E$19,IF((V$49-$E$9)=2,$E$20,1))*(1+Supuestos!$B$5)^MAX(V$49-1,0),0)</f>
        <v/>
      </c>
      <c r="W51" s="14">
        <f>IF((W$49-$E$9)&gt;=1,CHOOSE(Supuestos!$B$3,$E$10,$E$11,$E$12)*12*CHOOSE(Supuestos!$B$3,$E$13,$E$14,$E$15)*IF((W$49-$E$9)=1,$E$19,IF((W$49-$E$9)=2,$E$20,1))*(1+Supuestos!$B$5)^MAX(W$49-1,0),0)</f>
        <v/>
      </c>
    </row>
    <row r="52">
      <c r="A52" s="21" t="inlineStr">
        <is>
          <t xml:space="preserve">  Gastos - fase 1</t>
        </is>
      </c>
      <c r="C52" s="14">
        <f>IF((C$49-$E$9)&gt;=1,-$E$16*(1+Supuestos!$B$5)^MAX(C$49-1,0)-$E$17*C51,0)</f>
        <v/>
      </c>
      <c r="D52" s="14">
        <f>IF((D$49-$E$9)&gt;=1,-$E$16*(1+Supuestos!$B$5)^MAX(D$49-1,0)-$E$17*D51,0)</f>
        <v/>
      </c>
      <c r="E52" s="14">
        <f>IF((E$49-$E$9)&gt;=1,-$E$16*(1+Supuestos!$B$5)^MAX(E$49-1,0)-$E$17*E51,0)</f>
        <v/>
      </c>
      <c r="F52" s="14">
        <f>IF((F$49-$E$9)&gt;=1,-$E$16*(1+Supuestos!$B$5)^MAX(F$49-1,0)-$E$17*F51,0)</f>
        <v/>
      </c>
      <c r="G52" s="14">
        <f>IF((G$49-$E$9)&gt;=1,-$E$16*(1+Supuestos!$B$5)^MAX(G$49-1,0)-$E$17*G51,0)</f>
        <v/>
      </c>
      <c r="H52" s="14">
        <f>IF((H$49-$E$9)&gt;=1,-$E$16*(1+Supuestos!$B$5)^MAX(H$49-1,0)-$E$17*H51,0)</f>
        <v/>
      </c>
      <c r="I52" s="14">
        <f>IF((I$49-$E$9)&gt;=1,-$E$16*(1+Supuestos!$B$5)^MAX(I$49-1,0)-$E$17*I51,0)</f>
        <v/>
      </c>
      <c r="J52" s="14">
        <f>IF((J$49-$E$9)&gt;=1,-$E$16*(1+Supuestos!$B$5)^MAX(J$49-1,0)-$E$17*J51,0)</f>
        <v/>
      </c>
      <c r="K52" s="14">
        <f>IF((K$49-$E$9)&gt;=1,-$E$16*(1+Supuestos!$B$5)^MAX(K$49-1,0)-$E$17*K51,0)</f>
        <v/>
      </c>
      <c r="L52" s="14">
        <f>IF((L$49-$E$9)&gt;=1,-$E$16*(1+Supuestos!$B$5)^MAX(L$49-1,0)-$E$17*L51,0)</f>
        <v/>
      </c>
      <c r="M52" s="14">
        <f>IF((M$49-$E$9)&gt;=1,-$E$16*(1+Supuestos!$B$5)^MAX(M$49-1,0)-$E$17*M51,0)</f>
        <v/>
      </c>
      <c r="N52" s="14">
        <f>IF((N$49-$E$9)&gt;=1,-$E$16*(1+Supuestos!$B$5)^MAX(N$49-1,0)-$E$17*N51,0)</f>
        <v/>
      </c>
      <c r="O52" s="14">
        <f>IF((O$49-$E$9)&gt;=1,-$E$16*(1+Supuestos!$B$5)^MAX(O$49-1,0)-$E$17*O51,0)</f>
        <v/>
      </c>
      <c r="P52" s="14">
        <f>IF((P$49-$E$9)&gt;=1,-$E$16*(1+Supuestos!$B$5)^MAX(P$49-1,0)-$E$17*P51,0)</f>
        <v/>
      </c>
      <c r="Q52" s="14">
        <f>IF((Q$49-$E$9)&gt;=1,-$E$16*(1+Supuestos!$B$5)^MAX(Q$49-1,0)-$E$17*Q51,0)</f>
        <v/>
      </c>
      <c r="R52" s="14">
        <f>IF((R$49-$E$9)&gt;=1,-$E$16*(1+Supuestos!$B$5)^MAX(R$49-1,0)-$E$17*R51,0)</f>
        <v/>
      </c>
      <c r="S52" s="14">
        <f>IF((S$49-$E$9)&gt;=1,-$E$16*(1+Supuestos!$B$5)^MAX(S$49-1,0)-$E$17*S51,0)</f>
        <v/>
      </c>
      <c r="T52" s="14">
        <f>IF((T$49-$E$9)&gt;=1,-$E$16*(1+Supuestos!$B$5)^MAX(T$49-1,0)-$E$17*T51,0)</f>
        <v/>
      </c>
      <c r="U52" s="14">
        <f>IF((U$49-$E$9)&gt;=1,-$E$16*(1+Supuestos!$B$5)^MAX(U$49-1,0)-$E$17*U51,0)</f>
        <v/>
      </c>
      <c r="V52" s="14">
        <f>IF((V$49-$E$9)&gt;=1,-$E$16*(1+Supuestos!$B$5)^MAX(V$49-1,0)-$E$17*V51,0)</f>
        <v/>
      </c>
      <c r="W52" s="14">
        <f>IF((W$49-$E$9)&gt;=1,-$E$16*(1+Supuestos!$B$5)^MAX(W$49-1,0)-$E$17*W51,0)</f>
        <v/>
      </c>
    </row>
    <row r="53">
      <c r="A53" s="21" t="inlineStr">
        <is>
          <t xml:space="preserve">  Impuestos - fase 1</t>
        </is>
      </c>
      <c r="C53" s="14">
        <f>-$E$18*C51</f>
        <v/>
      </c>
      <c r="D53" s="14">
        <f>-$E$18*D51</f>
        <v/>
      </c>
      <c r="E53" s="14">
        <f>-$E$18*E51</f>
        <v/>
      </c>
      <c r="F53" s="14">
        <f>-$E$18*F51</f>
        <v/>
      </c>
      <c r="G53" s="14">
        <f>-$E$18*G51</f>
        <v/>
      </c>
      <c r="H53" s="14">
        <f>-$E$18*H51</f>
        <v/>
      </c>
      <c r="I53" s="14">
        <f>-$E$18*I51</f>
        <v/>
      </c>
      <c r="J53" s="14">
        <f>-$E$18*J51</f>
        <v/>
      </c>
      <c r="K53" s="14">
        <f>-$E$18*K51</f>
        <v/>
      </c>
      <c r="L53" s="14">
        <f>-$E$18*L51</f>
        <v/>
      </c>
      <c r="M53" s="14">
        <f>-$E$18*M51</f>
        <v/>
      </c>
      <c r="N53" s="14">
        <f>-$E$18*N51</f>
        <v/>
      </c>
      <c r="O53" s="14">
        <f>-$E$18*O51</f>
        <v/>
      </c>
      <c r="P53" s="14">
        <f>-$E$18*P51</f>
        <v/>
      </c>
      <c r="Q53" s="14">
        <f>-$E$18*Q51</f>
        <v/>
      </c>
      <c r="R53" s="14">
        <f>-$E$18*R51</f>
        <v/>
      </c>
      <c r="S53" s="14">
        <f>-$E$18*S51</f>
        <v/>
      </c>
      <c r="T53" s="14">
        <f>-$E$18*T51</f>
        <v/>
      </c>
      <c r="U53" s="14">
        <f>-$E$18*U51</f>
        <v/>
      </c>
      <c r="V53" s="14">
        <f>-$E$18*V51</f>
        <v/>
      </c>
      <c r="W53" s="14">
        <f>-$E$18*W51</f>
        <v/>
      </c>
    </row>
    <row r="54">
      <c r="A54" s="21" t="inlineStr">
        <is>
          <t xml:space="preserve">  Reposiciones - fase 1</t>
        </is>
      </c>
      <c r="C54" s="14">
        <f>0</f>
        <v/>
      </c>
      <c r="D54" s="14">
        <f>0</f>
        <v/>
      </c>
      <c r="E54" s="14">
        <f>0</f>
        <v/>
      </c>
      <c r="F54" s="14">
        <f>0</f>
        <v/>
      </c>
      <c r="G54" s="14">
        <f>0</f>
        <v/>
      </c>
      <c r="H54" s="14">
        <f>0</f>
        <v/>
      </c>
      <c r="I54" s="14">
        <f>0</f>
        <v/>
      </c>
      <c r="J54" s="14">
        <f>0</f>
        <v/>
      </c>
      <c r="K54" s="14">
        <f>0</f>
        <v/>
      </c>
      <c r="L54" s="14">
        <f>0</f>
        <v/>
      </c>
      <c r="M54" s="14">
        <f>0</f>
        <v/>
      </c>
      <c r="N54" s="14">
        <f>0</f>
        <v/>
      </c>
      <c r="O54" s="14">
        <f>0</f>
        <v/>
      </c>
      <c r="P54" s="14">
        <f>0</f>
        <v/>
      </c>
      <c r="Q54" s="14">
        <f>0</f>
        <v/>
      </c>
      <c r="R54" s="14">
        <f>0</f>
        <v/>
      </c>
      <c r="S54" s="14">
        <f>0</f>
        <v/>
      </c>
      <c r="T54" s="14">
        <f>0</f>
        <v/>
      </c>
      <c r="U54" s="14">
        <f>0</f>
        <v/>
      </c>
      <c r="V54" s="14">
        <f>0</f>
        <v/>
      </c>
      <c r="W54" s="14">
        <f>0</f>
        <v/>
      </c>
    </row>
    <row r="55">
      <c r="A55" s="21" t="inlineStr">
        <is>
          <t xml:space="preserve">  Valor residual (año 20) - fase 1</t>
        </is>
      </c>
      <c r="C55" s="14">
        <f>IF(AND(C$49=20,$E$21&gt;1),$E$8*(1+Supuestos!$B$5)^MAX($E$9-1,0)*MAX(0,1-(20-$E$9)/$E$21),0)</f>
        <v/>
      </c>
      <c r="D55" s="14">
        <f>IF(AND(D$49=20,$E$21&gt;1),$E$8*(1+Supuestos!$B$5)^MAX($E$9-1,0)*MAX(0,1-(20-$E$9)/$E$21),0)</f>
        <v/>
      </c>
      <c r="E55" s="14">
        <f>IF(AND(E$49=20,$E$21&gt;1),$E$8*(1+Supuestos!$B$5)^MAX($E$9-1,0)*MAX(0,1-(20-$E$9)/$E$21),0)</f>
        <v/>
      </c>
      <c r="F55" s="14">
        <f>IF(AND(F$49=20,$E$21&gt;1),$E$8*(1+Supuestos!$B$5)^MAX($E$9-1,0)*MAX(0,1-(20-$E$9)/$E$21),0)</f>
        <v/>
      </c>
      <c r="G55" s="14">
        <f>IF(AND(G$49=20,$E$21&gt;1),$E$8*(1+Supuestos!$B$5)^MAX($E$9-1,0)*MAX(0,1-(20-$E$9)/$E$21),0)</f>
        <v/>
      </c>
      <c r="H55" s="14">
        <f>IF(AND(H$49=20,$E$21&gt;1),$E$8*(1+Supuestos!$B$5)^MAX($E$9-1,0)*MAX(0,1-(20-$E$9)/$E$21),0)</f>
        <v/>
      </c>
      <c r="I55" s="14">
        <f>IF(AND(I$49=20,$E$21&gt;1),$E$8*(1+Supuestos!$B$5)^MAX($E$9-1,0)*MAX(0,1-(20-$E$9)/$E$21),0)</f>
        <v/>
      </c>
      <c r="J55" s="14">
        <f>IF(AND(J$49=20,$E$21&gt;1),$E$8*(1+Supuestos!$B$5)^MAX($E$9-1,0)*MAX(0,1-(20-$E$9)/$E$21),0)</f>
        <v/>
      </c>
      <c r="K55" s="14">
        <f>IF(AND(K$49=20,$E$21&gt;1),$E$8*(1+Supuestos!$B$5)^MAX($E$9-1,0)*MAX(0,1-(20-$E$9)/$E$21),0)</f>
        <v/>
      </c>
      <c r="L55" s="14">
        <f>IF(AND(L$49=20,$E$21&gt;1),$E$8*(1+Supuestos!$B$5)^MAX($E$9-1,0)*MAX(0,1-(20-$E$9)/$E$21),0)</f>
        <v/>
      </c>
      <c r="M55" s="14">
        <f>IF(AND(M$49=20,$E$21&gt;1),$E$8*(1+Supuestos!$B$5)^MAX($E$9-1,0)*MAX(0,1-(20-$E$9)/$E$21),0)</f>
        <v/>
      </c>
      <c r="N55" s="14">
        <f>IF(AND(N$49=20,$E$21&gt;1),$E$8*(1+Supuestos!$B$5)^MAX($E$9-1,0)*MAX(0,1-(20-$E$9)/$E$21),0)</f>
        <v/>
      </c>
      <c r="O55" s="14">
        <f>IF(AND(O$49=20,$E$21&gt;1),$E$8*(1+Supuestos!$B$5)^MAX($E$9-1,0)*MAX(0,1-(20-$E$9)/$E$21),0)</f>
        <v/>
      </c>
      <c r="P55" s="14">
        <f>IF(AND(P$49=20,$E$21&gt;1),$E$8*(1+Supuestos!$B$5)^MAX($E$9-1,0)*MAX(0,1-(20-$E$9)/$E$21),0)</f>
        <v/>
      </c>
      <c r="Q55" s="14">
        <f>IF(AND(Q$49=20,$E$21&gt;1),$E$8*(1+Supuestos!$B$5)^MAX($E$9-1,0)*MAX(0,1-(20-$E$9)/$E$21),0)</f>
        <v/>
      </c>
      <c r="R55" s="14">
        <f>IF(AND(R$49=20,$E$21&gt;1),$E$8*(1+Supuestos!$B$5)^MAX($E$9-1,0)*MAX(0,1-(20-$E$9)/$E$21),0)</f>
        <v/>
      </c>
      <c r="S55" s="14">
        <f>IF(AND(S$49=20,$E$21&gt;1),$E$8*(1+Supuestos!$B$5)^MAX($E$9-1,0)*MAX(0,1-(20-$E$9)/$E$21),0)</f>
        <v/>
      </c>
      <c r="T55" s="14">
        <f>IF(AND(T$49=20,$E$21&gt;1),$E$8*(1+Supuestos!$B$5)^MAX($E$9-1,0)*MAX(0,1-(20-$E$9)/$E$21),0)</f>
        <v/>
      </c>
      <c r="U55" s="14">
        <f>IF(AND(U$49=20,$E$21&gt;1),$E$8*(1+Supuestos!$B$5)^MAX($E$9-1,0)*MAX(0,1-(20-$E$9)/$E$21),0)</f>
        <v/>
      </c>
      <c r="V55" s="14">
        <f>IF(AND(V$49=20,$E$21&gt;1),$E$8*(1+Supuestos!$B$5)^MAX($E$9-1,0)*MAX(0,1-(20-$E$9)/$E$21),0)</f>
        <v/>
      </c>
      <c r="W55" s="14">
        <f>IF(AND(W$49=20,$E$21&gt;1),$E$8*(1+Supuestos!$B$5)^MAX($E$9-1,0)*MAX(0,1-(20-$E$9)/$E$21),0)</f>
        <v/>
      </c>
    </row>
    <row r="56">
      <c r="A56" s="21" t="inlineStr">
        <is>
          <t xml:space="preserve">  Inversión - fase 2</t>
        </is>
      </c>
      <c r="C56" s="14">
        <f>IF(C$49=$E$32,-$E$31*(1+Supuestos!$B$5)^MAX($E$32-1,0),0)</f>
        <v/>
      </c>
      <c r="D56" s="14">
        <f>IF(D$49=$E$32,-$E$31*(1+Supuestos!$B$5)^MAX($E$32-1,0),0)</f>
        <v/>
      </c>
      <c r="E56" s="14">
        <f>IF(E$49=$E$32,-$E$31*(1+Supuestos!$B$5)^MAX($E$32-1,0),0)</f>
        <v/>
      </c>
      <c r="F56" s="14">
        <f>IF(F$49=$E$32,-$E$31*(1+Supuestos!$B$5)^MAX($E$32-1,0),0)</f>
        <v/>
      </c>
      <c r="G56" s="14">
        <f>IF(G$49=$E$32,-$E$31*(1+Supuestos!$B$5)^MAX($E$32-1,0),0)</f>
        <v/>
      </c>
      <c r="H56" s="14">
        <f>IF(H$49=$E$32,-$E$31*(1+Supuestos!$B$5)^MAX($E$32-1,0),0)</f>
        <v/>
      </c>
      <c r="I56" s="14">
        <f>IF(I$49=$E$32,-$E$31*(1+Supuestos!$B$5)^MAX($E$32-1,0),0)</f>
        <v/>
      </c>
      <c r="J56" s="14">
        <f>IF(J$49=$E$32,-$E$31*(1+Supuestos!$B$5)^MAX($E$32-1,0),0)</f>
        <v/>
      </c>
      <c r="K56" s="14">
        <f>IF(K$49=$E$32,-$E$31*(1+Supuestos!$B$5)^MAX($E$32-1,0),0)</f>
        <v/>
      </c>
      <c r="L56" s="14">
        <f>IF(L$49=$E$32,-$E$31*(1+Supuestos!$B$5)^MAX($E$32-1,0),0)</f>
        <v/>
      </c>
      <c r="M56" s="14">
        <f>IF(M$49=$E$32,-$E$31*(1+Supuestos!$B$5)^MAX($E$32-1,0),0)</f>
        <v/>
      </c>
      <c r="N56" s="14">
        <f>IF(N$49=$E$32,-$E$31*(1+Supuestos!$B$5)^MAX($E$32-1,0),0)</f>
        <v/>
      </c>
      <c r="O56" s="14">
        <f>IF(O$49=$E$32,-$E$31*(1+Supuestos!$B$5)^MAX($E$32-1,0),0)</f>
        <v/>
      </c>
      <c r="P56" s="14">
        <f>IF(P$49=$E$32,-$E$31*(1+Supuestos!$B$5)^MAX($E$32-1,0),0)</f>
        <v/>
      </c>
      <c r="Q56" s="14">
        <f>IF(Q$49=$E$32,-$E$31*(1+Supuestos!$B$5)^MAX($E$32-1,0),0)</f>
        <v/>
      </c>
      <c r="R56" s="14">
        <f>IF(R$49=$E$32,-$E$31*(1+Supuestos!$B$5)^MAX($E$32-1,0),0)</f>
        <v/>
      </c>
      <c r="S56" s="14">
        <f>IF(S$49=$E$32,-$E$31*(1+Supuestos!$B$5)^MAX($E$32-1,0),0)</f>
        <v/>
      </c>
      <c r="T56" s="14">
        <f>IF(T$49=$E$32,-$E$31*(1+Supuestos!$B$5)^MAX($E$32-1,0),0)</f>
        <v/>
      </c>
      <c r="U56" s="14">
        <f>IF(U$49=$E$32,-$E$31*(1+Supuestos!$B$5)^MAX($E$32-1,0),0)</f>
        <v/>
      </c>
      <c r="V56" s="14">
        <f>IF(V$49=$E$32,-$E$31*(1+Supuestos!$B$5)^MAX($E$32-1,0),0)</f>
        <v/>
      </c>
      <c r="W56" s="14">
        <f>IF(W$49=$E$32,-$E$31*(1+Supuestos!$B$5)^MAX($E$32-1,0),0)</f>
        <v/>
      </c>
    </row>
    <row r="57">
      <c r="A57" s="21" t="inlineStr">
        <is>
          <t xml:space="preserve">  Ingresos cobrados - fase 2</t>
        </is>
      </c>
      <c r="C57" s="14">
        <f>IF((C$49-$E$32)&gt;=1,CHOOSE(Supuestos!$B$3,$E$33,$E$34,$E$35)*12*CHOOSE(Supuestos!$B$3,$E$36,$E$37,$E$38)*IF((C$49-$E$32)=1,$E$42,IF((C$49-$E$32)=2,$E$43,1))*(1+Supuestos!$B$5)^MAX(C$49-1,0),0)</f>
        <v/>
      </c>
      <c r="D57" s="14">
        <f>IF((D$49-$E$32)&gt;=1,CHOOSE(Supuestos!$B$3,$E$33,$E$34,$E$35)*12*CHOOSE(Supuestos!$B$3,$E$36,$E$37,$E$38)*IF((D$49-$E$32)=1,$E$42,IF((D$49-$E$32)=2,$E$43,1))*(1+Supuestos!$B$5)^MAX(D$49-1,0),0)</f>
        <v/>
      </c>
      <c r="E57" s="14">
        <f>IF((E$49-$E$32)&gt;=1,CHOOSE(Supuestos!$B$3,$E$33,$E$34,$E$35)*12*CHOOSE(Supuestos!$B$3,$E$36,$E$37,$E$38)*IF((E$49-$E$32)=1,$E$42,IF((E$49-$E$32)=2,$E$43,1))*(1+Supuestos!$B$5)^MAX(E$49-1,0),0)</f>
        <v/>
      </c>
      <c r="F57" s="14">
        <f>IF((F$49-$E$32)&gt;=1,CHOOSE(Supuestos!$B$3,$E$33,$E$34,$E$35)*12*CHOOSE(Supuestos!$B$3,$E$36,$E$37,$E$38)*IF((F$49-$E$32)=1,$E$42,IF((F$49-$E$32)=2,$E$43,1))*(1+Supuestos!$B$5)^MAX(F$49-1,0),0)</f>
        <v/>
      </c>
      <c r="G57" s="14">
        <f>IF((G$49-$E$32)&gt;=1,CHOOSE(Supuestos!$B$3,$E$33,$E$34,$E$35)*12*CHOOSE(Supuestos!$B$3,$E$36,$E$37,$E$38)*IF((G$49-$E$32)=1,$E$42,IF((G$49-$E$32)=2,$E$43,1))*(1+Supuestos!$B$5)^MAX(G$49-1,0),0)</f>
        <v/>
      </c>
      <c r="H57" s="14">
        <f>IF((H$49-$E$32)&gt;=1,CHOOSE(Supuestos!$B$3,$E$33,$E$34,$E$35)*12*CHOOSE(Supuestos!$B$3,$E$36,$E$37,$E$38)*IF((H$49-$E$32)=1,$E$42,IF((H$49-$E$32)=2,$E$43,1))*(1+Supuestos!$B$5)^MAX(H$49-1,0),0)</f>
        <v/>
      </c>
      <c r="I57" s="14">
        <f>IF((I$49-$E$32)&gt;=1,CHOOSE(Supuestos!$B$3,$E$33,$E$34,$E$35)*12*CHOOSE(Supuestos!$B$3,$E$36,$E$37,$E$38)*IF((I$49-$E$32)=1,$E$42,IF((I$49-$E$32)=2,$E$43,1))*(1+Supuestos!$B$5)^MAX(I$49-1,0),0)</f>
        <v/>
      </c>
      <c r="J57" s="14">
        <f>IF((J$49-$E$32)&gt;=1,CHOOSE(Supuestos!$B$3,$E$33,$E$34,$E$35)*12*CHOOSE(Supuestos!$B$3,$E$36,$E$37,$E$38)*IF((J$49-$E$32)=1,$E$42,IF((J$49-$E$32)=2,$E$43,1))*(1+Supuestos!$B$5)^MAX(J$49-1,0),0)</f>
        <v/>
      </c>
      <c r="K57" s="14">
        <f>IF((K$49-$E$32)&gt;=1,CHOOSE(Supuestos!$B$3,$E$33,$E$34,$E$35)*12*CHOOSE(Supuestos!$B$3,$E$36,$E$37,$E$38)*IF((K$49-$E$32)=1,$E$42,IF((K$49-$E$32)=2,$E$43,1))*(1+Supuestos!$B$5)^MAX(K$49-1,0),0)</f>
        <v/>
      </c>
      <c r="L57" s="14">
        <f>IF((L$49-$E$32)&gt;=1,CHOOSE(Supuestos!$B$3,$E$33,$E$34,$E$35)*12*CHOOSE(Supuestos!$B$3,$E$36,$E$37,$E$38)*IF((L$49-$E$32)=1,$E$42,IF((L$49-$E$32)=2,$E$43,1))*(1+Supuestos!$B$5)^MAX(L$49-1,0),0)</f>
        <v/>
      </c>
      <c r="M57" s="14">
        <f>IF((M$49-$E$32)&gt;=1,CHOOSE(Supuestos!$B$3,$E$33,$E$34,$E$35)*12*CHOOSE(Supuestos!$B$3,$E$36,$E$37,$E$38)*IF((M$49-$E$32)=1,$E$42,IF((M$49-$E$32)=2,$E$43,1))*(1+Supuestos!$B$5)^MAX(M$49-1,0),0)</f>
        <v/>
      </c>
      <c r="N57" s="14">
        <f>IF((N$49-$E$32)&gt;=1,CHOOSE(Supuestos!$B$3,$E$33,$E$34,$E$35)*12*CHOOSE(Supuestos!$B$3,$E$36,$E$37,$E$38)*IF((N$49-$E$32)=1,$E$42,IF((N$49-$E$32)=2,$E$43,1))*(1+Supuestos!$B$5)^MAX(N$49-1,0),0)</f>
        <v/>
      </c>
      <c r="O57" s="14">
        <f>IF((O$49-$E$32)&gt;=1,CHOOSE(Supuestos!$B$3,$E$33,$E$34,$E$35)*12*CHOOSE(Supuestos!$B$3,$E$36,$E$37,$E$38)*IF((O$49-$E$32)=1,$E$42,IF((O$49-$E$32)=2,$E$43,1))*(1+Supuestos!$B$5)^MAX(O$49-1,0),0)</f>
        <v/>
      </c>
      <c r="P57" s="14">
        <f>IF((P$49-$E$32)&gt;=1,CHOOSE(Supuestos!$B$3,$E$33,$E$34,$E$35)*12*CHOOSE(Supuestos!$B$3,$E$36,$E$37,$E$38)*IF((P$49-$E$32)=1,$E$42,IF((P$49-$E$32)=2,$E$43,1))*(1+Supuestos!$B$5)^MAX(P$49-1,0),0)</f>
        <v/>
      </c>
      <c r="Q57" s="14">
        <f>IF((Q$49-$E$32)&gt;=1,CHOOSE(Supuestos!$B$3,$E$33,$E$34,$E$35)*12*CHOOSE(Supuestos!$B$3,$E$36,$E$37,$E$38)*IF((Q$49-$E$32)=1,$E$42,IF((Q$49-$E$32)=2,$E$43,1))*(1+Supuestos!$B$5)^MAX(Q$49-1,0),0)</f>
        <v/>
      </c>
      <c r="R57" s="14">
        <f>IF((R$49-$E$32)&gt;=1,CHOOSE(Supuestos!$B$3,$E$33,$E$34,$E$35)*12*CHOOSE(Supuestos!$B$3,$E$36,$E$37,$E$38)*IF((R$49-$E$32)=1,$E$42,IF((R$49-$E$32)=2,$E$43,1))*(1+Supuestos!$B$5)^MAX(R$49-1,0),0)</f>
        <v/>
      </c>
      <c r="S57" s="14">
        <f>IF((S$49-$E$32)&gt;=1,CHOOSE(Supuestos!$B$3,$E$33,$E$34,$E$35)*12*CHOOSE(Supuestos!$B$3,$E$36,$E$37,$E$38)*IF((S$49-$E$32)=1,$E$42,IF((S$49-$E$32)=2,$E$43,1))*(1+Supuestos!$B$5)^MAX(S$49-1,0),0)</f>
        <v/>
      </c>
      <c r="T57" s="14">
        <f>IF((T$49-$E$32)&gt;=1,CHOOSE(Supuestos!$B$3,$E$33,$E$34,$E$35)*12*CHOOSE(Supuestos!$B$3,$E$36,$E$37,$E$38)*IF((T$49-$E$32)=1,$E$42,IF((T$49-$E$32)=2,$E$43,1))*(1+Supuestos!$B$5)^MAX(T$49-1,0),0)</f>
        <v/>
      </c>
      <c r="U57" s="14">
        <f>IF((U$49-$E$32)&gt;=1,CHOOSE(Supuestos!$B$3,$E$33,$E$34,$E$35)*12*CHOOSE(Supuestos!$B$3,$E$36,$E$37,$E$38)*IF((U$49-$E$32)=1,$E$42,IF((U$49-$E$32)=2,$E$43,1))*(1+Supuestos!$B$5)^MAX(U$49-1,0),0)</f>
        <v/>
      </c>
      <c r="V57" s="14">
        <f>IF((V$49-$E$32)&gt;=1,CHOOSE(Supuestos!$B$3,$E$33,$E$34,$E$35)*12*CHOOSE(Supuestos!$B$3,$E$36,$E$37,$E$38)*IF((V$49-$E$32)=1,$E$42,IF((V$49-$E$32)=2,$E$43,1))*(1+Supuestos!$B$5)^MAX(V$49-1,0),0)</f>
        <v/>
      </c>
      <c r="W57" s="14">
        <f>IF((W$49-$E$32)&gt;=1,CHOOSE(Supuestos!$B$3,$E$33,$E$34,$E$35)*12*CHOOSE(Supuestos!$B$3,$E$36,$E$37,$E$38)*IF((W$49-$E$32)=1,$E$42,IF((W$49-$E$32)=2,$E$43,1))*(1+Supuestos!$B$5)^MAX(W$49-1,0),0)</f>
        <v/>
      </c>
    </row>
    <row r="58">
      <c r="A58" s="21" t="inlineStr">
        <is>
          <t xml:space="preserve">  Gastos - fase 2</t>
        </is>
      </c>
      <c r="C58" s="14">
        <f>IF((C$49-$E$32)&gt;=1,-$E$39*(1+Supuestos!$B$5)^MAX(C$49-1,0)-$E$40*C57,0)</f>
        <v/>
      </c>
      <c r="D58" s="14">
        <f>IF((D$49-$E$32)&gt;=1,-$E$39*(1+Supuestos!$B$5)^MAX(D$49-1,0)-$E$40*D57,0)</f>
        <v/>
      </c>
      <c r="E58" s="14">
        <f>IF((E$49-$E$32)&gt;=1,-$E$39*(1+Supuestos!$B$5)^MAX(E$49-1,0)-$E$40*E57,0)</f>
        <v/>
      </c>
      <c r="F58" s="14">
        <f>IF((F$49-$E$32)&gt;=1,-$E$39*(1+Supuestos!$B$5)^MAX(F$49-1,0)-$E$40*F57,0)</f>
        <v/>
      </c>
      <c r="G58" s="14">
        <f>IF((G$49-$E$32)&gt;=1,-$E$39*(1+Supuestos!$B$5)^MAX(G$49-1,0)-$E$40*G57,0)</f>
        <v/>
      </c>
      <c r="H58" s="14">
        <f>IF((H$49-$E$32)&gt;=1,-$E$39*(1+Supuestos!$B$5)^MAX(H$49-1,0)-$E$40*H57,0)</f>
        <v/>
      </c>
      <c r="I58" s="14">
        <f>IF((I$49-$E$32)&gt;=1,-$E$39*(1+Supuestos!$B$5)^MAX(I$49-1,0)-$E$40*I57,0)</f>
        <v/>
      </c>
      <c r="J58" s="14">
        <f>IF((J$49-$E$32)&gt;=1,-$E$39*(1+Supuestos!$B$5)^MAX(J$49-1,0)-$E$40*J57,0)</f>
        <v/>
      </c>
      <c r="K58" s="14">
        <f>IF((K$49-$E$32)&gt;=1,-$E$39*(1+Supuestos!$B$5)^MAX(K$49-1,0)-$E$40*K57,0)</f>
        <v/>
      </c>
      <c r="L58" s="14">
        <f>IF((L$49-$E$32)&gt;=1,-$E$39*(1+Supuestos!$B$5)^MAX(L$49-1,0)-$E$40*L57,0)</f>
        <v/>
      </c>
      <c r="M58" s="14">
        <f>IF((M$49-$E$32)&gt;=1,-$E$39*(1+Supuestos!$B$5)^MAX(M$49-1,0)-$E$40*M57,0)</f>
        <v/>
      </c>
      <c r="N58" s="14">
        <f>IF((N$49-$E$32)&gt;=1,-$E$39*(1+Supuestos!$B$5)^MAX(N$49-1,0)-$E$40*N57,0)</f>
        <v/>
      </c>
      <c r="O58" s="14">
        <f>IF((O$49-$E$32)&gt;=1,-$E$39*(1+Supuestos!$B$5)^MAX(O$49-1,0)-$E$40*O57,0)</f>
        <v/>
      </c>
      <c r="P58" s="14">
        <f>IF((P$49-$E$32)&gt;=1,-$E$39*(1+Supuestos!$B$5)^MAX(P$49-1,0)-$E$40*P57,0)</f>
        <v/>
      </c>
      <c r="Q58" s="14">
        <f>IF((Q$49-$E$32)&gt;=1,-$E$39*(1+Supuestos!$B$5)^MAX(Q$49-1,0)-$E$40*Q57,0)</f>
        <v/>
      </c>
      <c r="R58" s="14">
        <f>IF((R$49-$E$32)&gt;=1,-$E$39*(1+Supuestos!$B$5)^MAX(R$49-1,0)-$E$40*R57,0)</f>
        <v/>
      </c>
      <c r="S58" s="14">
        <f>IF((S$49-$E$32)&gt;=1,-$E$39*(1+Supuestos!$B$5)^MAX(S$49-1,0)-$E$40*S57,0)</f>
        <v/>
      </c>
      <c r="T58" s="14">
        <f>IF((T$49-$E$32)&gt;=1,-$E$39*(1+Supuestos!$B$5)^MAX(T$49-1,0)-$E$40*T57,0)</f>
        <v/>
      </c>
      <c r="U58" s="14">
        <f>IF((U$49-$E$32)&gt;=1,-$E$39*(1+Supuestos!$B$5)^MAX(U$49-1,0)-$E$40*U57,0)</f>
        <v/>
      </c>
      <c r="V58" s="14">
        <f>IF((V$49-$E$32)&gt;=1,-$E$39*(1+Supuestos!$B$5)^MAX(V$49-1,0)-$E$40*V57,0)</f>
        <v/>
      </c>
      <c r="W58" s="14">
        <f>IF((W$49-$E$32)&gt;=1,-$E$39*(1+Supuestos!$B$5)^MAX(W$49-1,0)-$E$40*W57,0)</f>
        <v/>
      </c>
    </row>
    <row r="59">
      <c r="A59" s="21" t="inlineStr">
        <is>
          <t xml:space="preserve">  Impuestos - fase 2</t>
        </is>
      </c>
      <c r="C59" s="14">
        <f>-$E$41*C57</f>
        <v/>
      </c>
      <c r="D59" s="14">
        <f>-$E$41*D57</f>
        <v/>
      </c>
      <c r="E59" s="14">
        <f>-$E$41*E57</f>
        <v/>
      </c>
      <c r="F59" s="14">
        <f>-$E$41*F57</f>
        <v/>
      </c>
      <c r="G59" s="14">
        <f>-$E$41*G57</f>
        <v/>
      </c>
      <c r="H59" s="14">
        <f>-$E$41*H57</f>
        <v/>
      </c>
      <c r="I59" s="14">
        <f>-$E$41*I57</f>
        <v/>
      </c>
      <c r="J59" s="14">
        <f>-$E$41*J57</f>
        <v/>
      </c>
      <c r="K59" s="14">
        <f>-$E$41*K57</f>
        <v/>
      </c>
      <c r="L59" s="14">
        <f>-$E$41*L57</f>
        <v/>
      </c>
      <c r="M59" s="14">
        <f>-$E$41*M57</f>
        <v/>
      </c>
      <c r="N59" s="14">
        <f>-$E$41*N57</f>
        <v/>
      </c>
      <c r="O59" s="14">
        <f>-$E$41*O57</f>
        <v/>
      </c>
      <c r="P59" s="14">
        <f>-$E$41*P57</f>
        <v/>
      </c>
      <c r="Q59" s="14">
        <f>-$E$41*Q57</f>
        <v/>
      </c>
      <c r="R59" s="14">
        <f>-$E$41*R57</f>
        <v/>
      </c>
      <c r="S59" s="14">
        <f>-$E$41*S57</f>
        <v/>
      </c>
      <c r="T59" s="14">
        <f>-$E$41*T57</f>
        <v/>
      </c>
      <c r="U59" s="14">
        <f>-$E$41*U57</f>
        <v/>
      </c>
      <c r="V59" s="14">
        <f>-$E$41*V57</f>
        <v/>
      </c>
      <c r="W59" s="14">
        <f>-$E$41*W57</f>
        <v/>
      </c>
    </row>
    <row r="60">
      <c r="A60" s="21" t="inlineStr">
        <is>
          <t xml:space="preserve">  Reposiciones - fase 2</t>
        </is>
      </c>
      <c r="C60" s="14">
        <f>IF((C$49-$E$32)=$E$45,-$E$46*(1+Supuestos!$B$5)^MAX(C$49-1,0)*Supuestos!$B$22,0)</f>
        <v/>
      </c>
      <c r="D60" s="14">
        <f>IF((D$49-$E$32)=$E$45,-$E$46*(1+Supuestos!$B$5)^MAX(D$49-1,0)*Supuestos!$B$22,0)</f>
        <v/>
      </c>
      <c r="E60" s="14">
        <f>IF((E$49-$E$32)=$E$45,-$E$46*(1+Supuestos!$B$5)^MAX(E$49-1,0)*Supuestos!$B$22,0)</f>
        <v/>
      </c>
      <c r="F60" s="14">
        <f>IF((F$49-$E$32)=$E$45,-$E$46*(1+Supuestos!$B$5)^MAX(F$49-1,0)*Supuestos!$B$22,0)</f>
        <v/>
      </c>
      <c r="G60" s="14">
        <f>IF((G$49-$E$32)=$E$45,-$E$46*(1+Supuestos!$B$5)^MAX(G$49-1,0)*Supuestos!$B$22,0)</f>
        <v/>
      </c>
      <c r="H60" s="14">
        <f>IF((H$49-$E$32)=$E$45,-$E$46*(1+Supuestos!$B$5)^MAX(H$49-1,0)*Supuestos!$B$22,0)</f>
        <v/>
      </c>
      <c r="I60" s="14">
        <f>IF((I$49-$E$32)=$E$45,-$E$46*(1+Supuestos!$B$5)^MAX(I$49-1,0)*Supuestos!$B$22,0)</f>
        <v/>
      </c>
      <c r="J60" s="14">
        <f>IF((J$49-$E$32)=$E$45,-$E$46*(1+Supuestos!$B$5)^MAX(J$49-1,0)*Supuestos!$B$22,0)</f>
        <v/>
      </c>
      <c r="K60" s="14">
        <f>IF((K$49-$E$32)=$E$45,-$E$46*(1+Supuestos!$B$5)^MAX(K$49-1,0)*Supuestos!$B$22,0)</f>
        <v/>
      </c>
      <c r="L60" s="14">
        <f>IF((L$49-$E$32)=$E$45,-$E$46*(1+Supuestos!$B$5)^MAX(L$49-1,0)*Supuestos!$B$22,0)</f>
        <v/>
      </c>
      <c r="M60" s="14">
        <f>IF((M$49-$E$32)=$E$45,-$E$46*(1+Supuestos!$B$5)^MAX(M$49-1,0)*Supuestos!$B$22,0)</f>
        <v/>
      </c>
      <c r="N60" s="14">
        <f>IF((N$49-$E$32)=$E$45,-$E$46*(1+Supuestos!$B$5)^MAX(N$49-1,0)*Supuestos!$B$22,0)</f>
        <v/>
      </c>
      <c r="O60" s="14">
        <f>IF((O$49-$E$32)=$E$45,-$E$46*(1+Supuestos!$B$5)^MAX(O$49-1,0)*Supuestos!$B$22,0)</f>
        <v/>
      </c>
      <c r="P60" s="14">
        <f>IF((P$49-$E$32)=$E$45,-$E$46*(1+Supuestos!$B$5)^MAX(P$49-1,0)*Supuestos!$B$22,0)</f>
        <v/>
      </c>
      <c r="Q60" s="14">
        <f>IF((Q$49-$E$32)=$E$45,-$E$46*(1+Supuestos!$B$5)^MAX(Q$49-1,0)*Supuestos!$B$22,0)</f>
        <v/>
      </c>
      <c r="R60" s="14">
        <f>IF((R$49-$E$32)=$E$45,-$E$46*(1+Supuestos!$B$5)^MAX(R$49-1,0)*Supuestos!$B$22,0)</f>
        <v/>
      </c>
      <c r="S60" s="14">
        <f>IF((S$49-$E$32)=$E$45,-$E$46*(1+Supuestos!$B$5)^MAX(S$49-1,0)*Supuestos!$B$22,0)</f>
        <v/>
      </c>
      <c r="T60" s="14">
        <f>IF((T$49-$E$32)=$E$45,-$E$46*(1+Supuestos!$B$5)^MAX(T$49-1,0)*Supuestos!$B$22,0)</f>
        <v/>
      </c>
      <c r="U60" s="14">
        <f>IF((U$49-$E$32)=$E$45,-$E$46*(1+Supuestos!$B$5)^MAX(U$49-1,0)*Supuestos!$B$22,0)</f>
        <v/>
      </c>
      <c r="V60" s="14">
        <f>IF((V$49-$E$32)=$E$45,-$E$46*(1+Supuestos!$B$5)^MAX(V$49-1,0)*Supuestos!$B$22,0)</f>
        <v/>
      </c>
      <c r="W60" s="14">
        <f>IF((W$49-$E$32)=$E$45,-$E$46*(1+Supuestos!$B$5)^MAX(W$49-1,0)*Supuestos!$B$22,0)</f>
        <v/>
      </c>
    </row>
    <row r="61">
      <c r="A61" s="21" t="inlineStr">
        <is>
          <t xml:space="preserve">  Valor residual (año 20) - fase 2</t>
        </is>
      </c>
      <c r="C61" s="14">
        <f>IF(AND(C$49=20,$E$44&gt;1),$E$31*(1+Supuestos!$B$5)^MAX($E$32-1,0)*MAX(0,1-(20-$E$32)/$E$44),0)</f>
        <v/>
      </c>
      <c r="D61" s="14">
        <f>IF(AND(D$49=20,$E$44&gt;1),$E$31*(1+Supuestos!$B$5)^MAX($E$32-1,0)*MAX(0,1-(20-$E$32)/$E$44),0)</f>
        <v/>
      </c>
      <c r="E61" s="14">
        <f>IF(AND(E$49=20,$E$44&gt;1),$E$31*(1+Supuestos!$B$5)^MAX($E$32-1,0)*MAX(0,1-(20-$E$32)/$E$44),0)</f>
        <v/>
      </c>
      <c r="F61" s="14">
        <f>IF(AND(F$49=20,$E$44&gt;1),$E$31*(1+Supuestos!$B$5)^MAX($E$32-1,0)*MAX(0,1-(20-$E$32)/$E$44),0)</f>
        <v/>
      </c>
      <c r="G61" s="14">
        <f>IF(AND(G$49=20,$E$44&gt;1),$E$31*(1+Supuestos!$B$5)^MAX($E$32-1,0)*MAX(0,1-(20-$E$32)/$E$44),0)</f>
        <v/>
      </c>
      <c r="H61" s="14">
        <f>IF(AND(H$49=20,$E$44&gt;1),$E$31*(1+Supuestos!$B$5)^MAX($E$32-1,0)*MAX(0,1-(20-$E$32)/$E$44),0)</f>
        <v/>
      </c>
      <c r="I61" s="14">
        <f>IF(AND(I$49=20,$E$44&gt;1),$E$31*(1+Supuestos!$B$5)^MAX($E$32-1,0)*MAX(0,1-(20-$E$32)/$E$44),0)</f>
        <v/>
      </c>
      <c r="J61" s="14">
        <f>IF(AND(J$49=20,$E$44&gt;1),$E$31*(1+Supuestos!$B$5)^MAX($E$32-1,0)*MAX(0,1-(20-$E$32)/$E$44),0)</f>
        <v/>
      </c>
      <c r="K61" s="14">
        <f>IF(AND(K$49=20,$E$44&gt;1),$E$31*(1+Supuestos!$B$5)^MAX($E$32-1,0)*MAX(0,1-(20-$E$32)/$E$44),0)</f>
        <v/>
      </c>
      <c r="L61" s="14">
        <f>IF(AND(L$49=20,$E$44&gt;1),$E$31*(1+Supuestos!$B$5)^MAX($E$32-1,0)*MAX(0,1-(20-$E$32)/$E$44),0)</f>
        <v/>
      </c>
      <c r="M61" s="14">
        <f>IF(AND(M$49=20,$E$44&gt;1),$E$31*(1+Supuestos!$B$5)^MAX($E$32-1,0)*MAX(0,1-(20-$E$32)/$E$44),0)</f>
        <v/>
      </c>
      <c r="N61" s="14">
        <f>IF(AND(N$49=20,$E$44&gt;1),$E$31*(1+Supuestos!$B$5)^MAX($E$32-1,0)*MAX(0,1-(20-$E$32)/$E$44),0)</f>
        <v/>
      </c>
      <c r="O61" s="14">
        <f>IF(AND(O$49=20,$E$44&gt;1),$E$31*(1+Supuestos!$B$5)^MAX($E$32-1,0)*MAX(0,1-(20-$E$32)/$E$44),0)</f>
        <v/>
      </c>
      <c r="P61" s="14">
        <f>IF(AND(P$49=20,$E$44&gt;1),$E$31*(1+Supuestos!$B$5)^MAX($E$32-1,0)*MAX(0,1-(20-$E$32)/$E$44),0)</f>
        <v/>
      </c>
      <c r="Q61" s="14">
        <f>IF(AND(Q$49=20,$E$44&gt;1),$E$31*(1+Supuestos!$B$5)^MAX($E$32-1,0)*MAX(0,1-(20-$E$32)/$E$44),0)</f>
        <v/>
      </c>
      <c r="R61" s="14">
        <f>IF(AND(R$49=20,$E$44&gt;1),$E$31*(1+Supuestos!$B$5)^MAX($E$32-1,0)*MAX(0,1-(20-$E$32)/$E$44),0)</f>
        <v/>
      </c>
      <c r="S61" s="14">
        <f>IF(AND(S$49=20,$E$44&gt;1),$E$31*(1+Supuestos!$B$5)^MAX($E$32-1,0)*MAX(0,1-(20-$E$32)/$E$44),0)</f>
        <v/>
      </c>
      <c r="T61" s="14">
        <f>IF(AND(T$49=20,$E$44&gt;1),$E$31*(1+Supuestos!$B$5)^MAX($E$32-1,0)*MAX(0,1-(20-$E$32)/$E$44),0)</f>
        <v/>
      </c>
      <c r="U61" s="14">
        <f>IF(AND(U$49=20,$E$44&gt;1),$E$31*(1+Supuestos!$B$5)^MAX($E$32-1,0)*MAX(0,1-(20-$E$32)/$E$44),0)</f>
        <v/>
      </c>
      <c r="V61" s="14">
        <f>IF(AND(V$49=20,$E$44&gt;1),$E$31*(1+Supuestos!$B$5)^MAX($E$32-1,0)*MAX(0,1-(20-$E$32)/$E$44),0)</f>
        <v/>
      </c>
      <c r="W61" s="14">
        <f>IF(AND(W$49=20,$E$44&gt;1),$E$31*(1+Supuestos!$B$5)^MAX($E$32-1,0)*MAX(0,1-(20-$E$32)/$E$44),0)</f>
        <v/>
      </c>
    </row>
    <row r="62">
      <c r="A62" s="7" t="inlineStr">
        <is>
          <t>Inversión</t>
        </is>
      </c>
      <c r="C62" s="22">
        <f>C50+C56</f>
        <v/>
      </c>
      <c r="D62" s="22">
        <f>D50+D56</f>
        <v/>
      </c>
      <c r="E62" s="22">
        <f>E50+E56</f>
        <v/>
      </c>
      <c r="F62" s="22">
        <f>F50+F56</f>
        <v/>
      </c>
      <c r="G62" s="22">
        <f>G50+G56</f>
        <v/>
      </c>
      <c r="H62" s="22">
        <f>H50+H56</f>
        <v/>
      </c>
      <c r="I62" s="22">
        <f>I50+I56</f>
        <v/>
      </c>
      <c r="J62" s="22">
        <f>J50+J56</f>
        <v/>
      </c>
      <c r="K62" s="22">
        <f>K50+K56</f>
        <v/>
      </c>
      <c r="L62" s="22">
        <f>L50+L56</f>
        <v/>
      </c>
      <c r="M62" s="22">
        <f>M50+M56</f>
        <v/>
      </c>
      <c r="N62" s="22">
        <f>N50+N56</f>
        <v/>
      </c>
      <c r="O62" s="22">
        <f>O50+O56</f>
        <v/>
      </c>
      <c r="P62" s="22">
        <f>P50+P56</f>
        <v/>
      </c>
      <c r="Q62" s="22">
        <f>Q50+Q56</f>
        <v/>
      </c>
      <c r="R62" s="22">
        <f>R50+R56</f>
        <v/>
      </c>
      <c r="S62" s="22">
        <f>S50+S56</f>
        <v/>
      </c>
      <c r="T62" s="22">
        <f>T50+T56</f>
        <v/>
      </c>
      <c r="U62" s="22">
        <f>U50+U56</f>
        <v/>
      </c>
      <c r="V62" s="22">
        <f>V50+V56</f>
        <v/>
      </c>
      <c r="W62" s="22">
        <f>W50+W56</f>
        <v/>
      </c>
    </row>
    <row r="63">
      <c r="A63" s="7" t="inlineStr">
        <is>
          <t>Ingresos cobrados</t>
        </is>
      </c>
      <c r="C63" s="22">
        <f>C51+C57</f>
        <v/>
      </c>
      <c r="D63" s="22">
        <f>D51+D57</f>
        <v/>
      </c>
      <c r="E63" s="22">
        <f>E51+E57</f>
        <v/>
      </c>
      <c r="F63" s="22">
        <f>F51+F57</f>
        <v/>
      </c>
      <c r="G63" s="22">
        <f>G51+G57</f>
        <v/>
      </c>
      <c r="H63" s="22">
        <f>H51+H57</f>
        <v/>
      </c>
      <c r="I63" s="22">
        <f>I51+I57</f>
        <v/>
      </c>
      <c r="J63" s="22">
        <f>J51+J57</f>
        <v/>
      </c>
      <c r="K63" s="22">
        <f>K51+K57</f>
        <v/>
      </c>
      <c r="L63" s="22">
        <f>L51+L57</f>
        <v/>
      </c>
      <c r="M63" s="22">
        <f>M51+M57</f>
        <v/>
      </c>
      <c r="N63" s="22">
        <f>N51+N57</f>
        <v/>
      </c>
      <c r="O63" s="22">
        <f>O51+O57</f>
        <v/>
      </c>
      <c r="P63" s="22">
        <f>P51+P57</f>
        <v/>
      </c>
      <c r="Q63" s="22">
        <f>Q51+Q57</f>
        <v/>
      </c>
      <c r="R63" s="22">
        <f>R51+R57</f>
        <v/>
      </c>
      <c r="S63" s="22">
        <f>S51+S57</f>
        <v/>
      </c>
      <c r="T63" s="22">
        <f>T51+T57</f>
        <v/>
      </c>
      <c r="U63" s="22">
        <f>U51+U57</f>
        <v/>
      </c>
      <c r="V63" s="22">
        <f>V51+V57</f>
        <v/>
      </c>
      <c r="W63" s="22">
        <f>W51+W57</f>
        <v/>
      </c>
    </row>
    <row r="64">
      <c r="A64" s="7" t="inlineStr">
        <is>
          <t>Gastos</t>
        </is>
      </c>
      <c r="C64" s="22">
        <f>C52+C58</f>
        <v/>
      </c>
      <c r="D64" s="22">
        <f>D52+D58</f>
        <v/>
      </c>
      <c r="E64" s="22">
        <f>E52+E58</f>
        <v/>
      </c>
      <c r="F64" s="22">
        <f>F52+F58</f>
        <v/>
      </c>
      <c r="G64" s="22">
        <f>G52+G58</f>
        <v/>
      </c>
      <c r="H64" s="22">
        <f>H52+H58</f>
        <v/>
      </c>
      <c r="I64" s="22">
        <f>I52+I58</f>
        <v/>
      </c>
      <c r="J64" s="22">
        <f>J52+J58</f>
        <v/>
      </c>
      <c r="K64" s="22">
        <f>K52+K58</f>
        <v/>
      </c>
      <c r="L64" s="22">
        <f>L52+L58</f>
        <v/>
      </c>
      <c r="M64" s="22">
        <f>M52+M58</f>
        <v/>
      </c>
      <c r="N64" s="22">
        <f>N52+N58</f>
        <v/>
      </c>
      <c r="O64" s="22">
        <f>O52+O58</f>
        <v/>
      </c>
      <c r="P64" s="22">
        <f>P52+P58</f>
        <v/>
      </c>
      <c r="Q64" s="22">
        <f>Q52+Q58</f>
        <v/>
      </c>
      <c r="R64" s="22">
        <f>R52+R58</f>
        <v/>
      </c>
      <c r="S64" s="22">
        <f>S52+S58</f>
        <v/>
      </c>
      <c r="T64" s="22">
        <f>T52+T58</f>
        <v/>
      </c>
      <c r="U64" s="22">
        <f>U52+U58</f>
        <v/>
      </c>
      <c r="V64" s="22">
        <f>V52+V58</f>
        <v/>
      </c>
      <c r="W64" s="22">
        <f>W52+W58</f>
        <v/>
      </c>
    </row>
    <row r="65">
      <c r="A65" s="7" t="inlineStr">
        <is>
          <t>Impuestos</t>
        </is>
      </c>
      <c r="C65" s="22">
        <f>C53+C59</f>
        <v/>
      </c>
      <c r="D65" s="22">
        <f>D53+D59</f>
        <v/>
      </c>
      <c r="E65" s="22">
        <f>E53+E59</f>
        <v/>
      </c>
      <c r="F65" s="22">
        <f>F53+F59</f>
        <v/>
      </c>
      <c r="G65" s="22">
        <f>G53+G59</f>
        <v/>
      </c>
      <c r="H65" s="22">
        <f>H53+H59</f>
        <v/>
      </c>
      <c r="I65" s="22">
        <f>I53+I59</f>
        <v/>
      </c>
      <c r="J65" s="22">
        <f>J53+J59</f>
        <v/>
      </c>
      <c r="K65" s="22">
        <f>K53+K59</f>
        <v/>
      </c>
      <c r="L65" s="22">
        <f>L53+L59</f>
        <v/>
      </c>
      <c r="M65" s="22">
        <f>M53+M59</f>
        <v/>
      </c>
      <c r="N65" s="22">
        <f>N53+N59</f>
        <v/>
      </c>
      <c r="O65" s="22">
        <f>O53+O59</f>
        <v/>
      </c>
      <c r="P65" s="22">
        <f>P53+P59</f>
        <v/>
      </c>
      <c r="Q65" s="22">
        <f>Q53+Q59</f>
        <v/>
      </c>
      <c r="R65" s="22">
        <f>R53+R59</f>
        <v/>
      </c>
      <c r="S65" s="22">
        <f>S53+S59</f>
        <v/>
      </c>
      <c r="T65" s="22">
        <f>T53+T59</f>
        <v/>
      </c>
      <c r="U65" s="22">
        <f>U53+U59</f>
        <v/>
      </c>
      <c r="V65" s="22">
        <f>V53+V59</f>
        <v/>
      </c>
      <c r="W65" s="22">
        <f>W53+W59</f>
        <v/>
      </c>
    </row>
    <row r="66">
      <c r="A66" s="7" t="inlineStr">
        <is>
          <t>Reposiciones</t>
        </is>
      </c>
      <c r="C66" s="22">
        <f>C54+C60</f>
        <v/>
      </c>
      <c r="D66" s="22">
        <f>D54+D60</f>
        <v/>
      </c>
      <c r="E66" s="22">
        <f>E54+E60</f>
        <v/>
      </c>
      <c r="F66" s="22">
        <f>F54+F60</f>
        <v/>
      </c>
      <c r="G66" s="22">
        <f>G54+G60</f>
        <v/>
      </c>
      <c r="H66" s="22">
        <f>H54+H60</f>
        <v/>
      </c>
      <c r="I66" s="22">
        <f>I54+I60</f>
        <v/>
      </c>
      <c r="J66" s="22">
        <f>J54+J60</f>
        <v/>
      </c>
      <c r="K66" s="22">
        <f>K54+K60</f>
        <v/>
      </c>
      <c r="L66" s="22">
        <f>L54+L60</f>
        <v/>
      </c>
      <c r="M66" s="22">
        <f>M54+M60</f>
        <v/>
      </c>
      <c r="N66" s="22">
        <f>N54+N60</f>
        <v/>
      </c>
      <c r="O66" s="22">
        <f>O54+O60</f>
        <v/>
      </c>
      <c r="P66" s="22">
        <f>P54+P60</f>
        <v/>
      </c>
      <c r="Q66" s="22">
        <f>Q54+Q60</f>
        <v/>
      </c>
      <c r="R66" s="22">
        <f>R54+R60</f>
        <v/>
      </c>
      <c r="S66" s="22">
        <f>S54+S60</f>
        <v/>
      </c>
      <c r="T66" s="22">
        <f>T54+T60</f>
        <v/>
      </c>
      <c r="U66" s="22">
        <f>U54+U60</f>
        <v/>
      </c>
      <c r="V66" s="22">
        <f>V54+V60</f>
        <v/>
      </c>
      <c r="W66" s="22">
        <f>W54+W60</f>
        <v/>
      </c>
    </row>
    <row r="67">
      <c r="A67" s="7" t="inlineStr">
        <is>
          <t>Valor residual (año 20)</t>
        </is>
      </c>
      <c r="C67" s="22">
        <f>C55+C61</f>
        <v/>
      </c>
      <c r="D67" s="22">
        <f>D55+D61</f>
        <v/>
      </c>
      <c r="E67" s="22">
        <f>E55+E61</f>
        <v/>
      </c>
      <c r="F67" s="22">
        <f>F55+F61</f>
        <v/>
      </c>
      <c r="G67" s="22">
        <f>G55+G61</f>
        <v/>
      </c>
      <c r="H67" s="22">
        <f>H55+H61</f>
        <v/>
      </c>
      <c r="I67" s="22">
        <f>I55+I61</f>
        <v/>
      </c>
      <c r="J67" s="22">
        <f>J55+J61</f>
        <v/>
      </c>
      <c r="K67" s="22">
        <f>K55+K61</f>
        <v/>
      </c>
      <c r="L67" s="22">
        <f>L55+L61</f>
        <v/>
      </c>
      <c r="M67" s="22">
        <f>M55+M61</f>
        <v/>
      </c>
      <c r="N67" s="22">
        <f>N55+N61</f>
        <v/>
      </c>
      <c r="O67" s="22">
        <f>O55+O61</f>
        <v/>
      </c>
      <c r="P67" s="22">
        <f>P55+P61</f>
        <v/>
      </c>
      <c r="Q67" s="22">
        <f>Q55+Q61</f>
        <v/>
      </c>
      <c r="R67" s="22">
        <f>R55+R61</f>
        <v/>
      </c>
      <c r="S67" s="22">
        <f>S55+S61</f>
        <v/>
      </c>
      <c r="T67" s="22">
        <f>T55+T61</f>
        <v/>
      </c>
      <c r="U67" s="22">
        <f>U55+U61</f>
        <v/>
      </c>
      <c r="V67" s="22">
        <f>V55+V61</f>
        <v/>
      </c>
      <c r="W67" s="22">
        <f>W55+W61</f>
        <v/>
      </c>
    </row>
    <row r="68">
      <c r="A68" s="7" t="inlineStr">
        <is>
          <t>FLUJO NETO</t>
        </is>
      </c>
      <c r="C68" s="8">
        <f>C62+C63+C64+C65+C66+C67</f>
        <v/>
      </c>
      <c r="D68" s="8">
        <f>D62+D63+D64+D65+D66+D67</f>
        <v/>
      </c>
      <c r="E68" s="8">
        <f>E62+E63+E64+E65+E66+E67</f>
        <v/>
      </c>
      <c r="F68" s="8">
        <f>F62+F63+F64+F65+F66+F67</f>
        <v/>
      </c>
      <c r="G68" s="8">
        <f>G62+G63+G64+G65+G66+G67</f>
        <v/>
      </c>
      <c r="H68" s="8">
        <f>H62+H63+H64+H65+H66+H67</f>
        <v/>
      </c>
      <c r="I68" s="8">
        <f>I62+I63+I64+I65+I66+I67</f>
        <v/>
      </c>
      <c r="J68" s="8">
        <f>J62+J63+J64+J65+J66+J67</f>
        <v/>
      </c>
      <c r="K68" s="8">
        <f>K62+K63+K64+K65+K66+K67</f>
        <v/>
      </c>
      <c r="L68" s="8">
        <f>L62+L63+L64+L65+L66+L67</f>
        <v/>
      </c>
      <c r="M68" s="8">
        <f>M62+M63+M64+M65+M66+M67</f>
        <v/>
      </c>
      <c r="N68" s="8">
        <f>N62+N63+N64+N65+N66+N67</f>
        <v/>
      </c>
      <c r="O68" s="8">
        <f>O62+O63+O64+O65+O66+O67</f>
        <v/>
      </c>
      <c r="P68" s="8">
        <f>P62+P63+P64+P65+P66+P67</f>
        <v/>
      </c>
      <c r="Q68" s="8">
        <f>Q62+Q63+Q64+Q65+Q66+Q67</f>
        <v/>
      </c>
      <c r="R68" s="8">
        <f>R62+R63+R64+R65+R66+R67</f>
        <v/>
      </c>
      <c r="S68" s="8">
        <f>S62+S63+S64+S65+S66+S67</f>
        <v/>
      </c>
      <c r="T68" s="8">
        <f>T62+T63+T64+T65+T66+T67</f>
        <v/>
      </c>
      <c r="U68" s="8">
        <f>U62+U63+U64+U65+U66+U67</f>
        <v/>
      </c>
      <c r="V68" s="8">
        <f>V62+V63+V64+V65+V66+V67</f>
        <v/>
      </c>
      <c r="W68" s="8">
        <f>W62+W63+W64+W65+W66+W67</f>
        <v/>
      </c>
    </row>
    <row r="69">
      <c r="A69" s="7" t="inlineStr">
        <is>
          <t>Caja acumulada (sin valor residual)</t>
        </is>
      </c>
      <c r="C69" s="14">
        <f>C68-C67</f>
        <v/>
      </c>
      <c r="D69" s="14">
        <f>C69+D68-D67</f>
        <v/>
      </c>
      <c r="E69" s="14">
        <f>D69+E68-E67</f>
        <v/>
      </c>
      <c r="F69" s="14">
        <f>E69+F68-F67</f>
        <v/>
      </c>
      <c r="G69" s="14">
        <f>F69+G68-G67</f>
        <v/>
      </c>
      <c r="H69" s="14">
        <f>G69+H68-H67</f>
        <v/>
      </c>
      <c r="I69" s="14">
        <f>H69+I68-I67</f>
        <v/>
      </c>
      <c r="J69" s="14">
        <f>I69+J68-J67</f>
        <v/>
      </c>
      <c r="K69" s="14">
        <f>J69+K68-K67</f>
        <v/>
      </c>
      <c r="L69" s="14">
        <f>K69+L68-L67</f>
        <v/>
      </c>
      <c r="M69" s="14">
        <f>L69+M68-M67</f>
        <v/>
      </c>
      <c r="N69" s="14">
        <f>M69+N68-N67</f>
        <v/>
      </c>
      <c r="O69" s="14">
        <f>N69+O68-O67</f>
        <v/>
      </c>
      <c r="P69" s="14">
        <f>O69+P68-P67</f>
        <v/>
      </c>
      <c r="Q69" s="14">
        <f>P69+Q68-Q67</f>
        <v/>
      </c>
      <c r="R69" s="14">
        <f>Q69+R68-R67</f>
        <v/>
      </c>
      <c r="S69" s="14">
        <f>R69+S68-S67</f>
        <v/>
      </c>
      <c r="T69" s="14">
        <f>S69+T68-T67</f>
        <v/>
      </c>
      <c r="U69" s="14">
        <f>T69+U68-U67</f>
        <v/>
      </c>
      <c r="V69" s="14">
        <f>U69+V68-V67</f>
        <v/>
      </c>
      <c r="W69" s="14">
        <f>V69+W68-W67</f>
        <v/>
      </c>
    </row>
    <row r="70">
      <c r="A70" s="7" t="inlineStr">
        <is>
          <t>Flujo del propietario contando el terreno (lo aporta hoy y lo recupera valorizado)</t>
        </is>
      </c>
      <c r="C70" s="14">
        <f>C68-Supuestos!$B$21</f>
        <v/>
      </c>
      <c r="D70" s="14">
        <f>D68</f>
        <v/>
      </c>
      <c r="E70" s="14">
        <f>E68</f>
        <v/>
      </c>
      <c r="F70" s="14">
        <f>F68</f>
        <v/>
      </c>
      <c r="G70" s="14">
        <f>G68</f>
        <v/>
      </c>
      <c r="H70" s="14">
        <f>H68</f>
        <v/>
      </c>
      <c r="I70" s="14">
        <f>I68</f>
        <v/>
      </c>
      <c r="J70" s="14">
        <f>J68</f>
        <v/>
      </c>
      <c r="K70" s="14">
        <f>K68</f>
        <v/>
      </c>
      <c r="L70" s="14">
        <f>L68</f>
        <v/>
      </c>
      <c r="M70" s="14">
        <f>M68</f>
        <v/>
      </c>
      <c r="N70" s="14">
        <f>N68</f>
        <v/>
      </c>
      <c r="O70" s="14">
        <f>O68</f>
        <v/>
      </c>
      <c r="P70" s="14">
        <f>P68</f>
        <v/>
      </c>
      <c r="Q70" s="14">
        <f>Q68</f>
        <v/>
      </c>
      <c r="R70" s="14">
        <f>R68</f>
        <v/>
      </c>
      <c r="S70" s="14">
        <f>S68</f>
        <v/>
      </c>
      <c r="T70" s="14">
        <f>T68</f>
        <v/>
      </c>
      <c r="U70" s="14">
        <f>U68</f>
        <v/>
      </c>
      <c r="V70" s="14">
        <f>V68</f>
        <v/>
      </c>
      <c r="W70" s="14">
        <f>W68+Supuestos!$B$21*(1+Supuestos!$B$23)^20</f>
        <v/>
      </c>
    </row>
    <row r="72">
      <c r="A72" s="7" t="inlineStr">
        <is>
          <t>Inversión total</t>
        </is>
      </c>
      <c r="C72" s="8">
        <f>-SUM(C62:W62)</f>
        <v/>
      </c>
    </row>
    <row r="73">
      <c r="A73" s="7" t="inlineStr">
        <is>
          <t>VAN al 10%</t>
        </is>
      </c>
      <c r="C73" s="8">
        <f>C68+NPV(Supuestos!$B$4,D68:W68)</f>
        <v/>
      </c>
    </row>
    <row r="74">
      <c r="A74" s="7" t="inlineStr">
        <is>
          <t>TIR</t>
        </is>
      </c>
      <c r="C74" s="23">
        <f>IFERROR(IRR(C68:W68),IFERROR(IRR(C68:W68,-0.05),"no aplica"))</f>
        <v/>
      </c>
    </row>
    <row r="75">
      <c r="A75" s="7" t="inlineStr">
        <is>
          <t>Año en que se recupera la inversión (acumulado ≥ 0)</t>
        </is>
      </c>
      <c r="C75" s="24">
        <f>IF(-SUM(C62:W62)=0,"sin inversión",IFERROR(INDEX(C49:W49,MATCH(TRUE,INDEX(C69:W69&gt;=0,0),0)),"no en 20 años"))</f>
        <v/>
      </c>
    </row>
    <row r="76">
      <c r="A76" s="7" t="inlineStr">
        <is>
          <t>Caja neta del año 5 sin inversiones (S/ nominales)</t>
        </is>
      </c>
      <c r="C76" s="8">
        <f>H68-H62</f>
        <v/>
      </c>
    </row>
    <row r="77">
      <c r="A77" s="7" t="inlineStr">
        <is>
          <t>TIR contando el terreno</t>
        </is>
      </c>
      <c r="C77" s="23">
        <f>IFERROR(IRR(C70:W70),"no aplica")</f>
        <v/>
      </c>
    </row>
  </sheetData>
  <mergeCells count="1">
    <mergeCell ref="A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K. Terminal o paradero de vans y colectivos</t>
        </is>
      </c>
    </row>
    <row r="2" ht="30" customHeight="1">
      <c r="A2" s="17" t="inlineStr">
        <is>
          <t>Patio de maniobras de concreto, andenes techados, 4 boleterías, sala de espera y SS.HH.</t>
        </is>
      </c>
    </row>
    <row r="4">
      <c r="A4" s="18" t="inlineStr">
        <is>
          <t>Fase 1: Terminal de vans</t>
        </is>
      </c>
    </row>
    <row r="5">
      <c r="A5" s="20" t="inlineStr">
        <is>
          <t>Partida</t>
        </is>
      </c>
      <c r="B5" s="20" t="inlineStr">
        <is>
          <t>Und.</t>
        </is>
      </c>
      <c r="C5" s="20" t="inlineStr">
        <is>
          <t>Cantidad</t>
        </is>
      </c>
      <c r="D5" s="20" t="inlineStr">
        <is>
          <t>P. unitario</t>
        </is>
      </c>
      <c r="E5" s="20" t="inlineStr">
        <is>
          <t>Parcial</t>
        </is>
      </c>
    </row>
    <row r="6">
      <c r="A6" s="17" t="inlineStr">
        <is>
          <t>Pavimento de concreto para patio de maniobras</t>
        </is>
      </c>
      <c r="B6" t="inlineStr">
        <is>
          <t>m²</t>
        </is>
      </c>
      <c r="C6" s="5" t="n">
        <v>480</v>
      </c>
      <c r="D6" s="6" t="n">
        <v>130</v>
      </c>
      <c r="E6" s="14">
        <f>C6*D6</f>
        <v/>
      </c>
    </row>
    <row r="7">
      <c r="A7" s="17" t="inlineStr">
        <is>
          <t>Techado metálico de andenes</t>
        </is>
      </c>
      <c r="B7" t="inlineStr">
        <is>
          <t>m²</t>
        </is>
      </c>
      <c r="C7" s="5" t="n">
        <v>150</v>
      </c>
      <c r="D7" s="6" t="n">
        <v>400</v>
      </c>
      <c r="E7" s="14">
        <f>C7*D7</f>
        <v/>
      </c>
    </row>
    <row r="8">
      <c r="A8" s="17" t="inlineStr">
        <is>
          <t>Sala de espera, 4 boleterías y SS.HH.</t>
        </is>
      </c>
      <c r="B8" t="inlineStr">
        <is>
          <t>m²</t>
        </is>
      </c>
      <c r="C8" s="5" t="n">
        <v>120</v>
      </c>
      <c r="D8" s="6" t="n">
        <v>1300</v>
      </c>
      <c r="E8" s="14">
        <f>C8*D8</f>
        <v/>
      </c>
    </row>
    <row r="9">
      <c r="A9" s="17" t="inlineStr">
        <is>
          <t>Cerco, portones y señalización</t>
        </is>
      </c>
      <c r="B9" t="inlineStr">
        <is>
          <t>glb</t>
        </is>
      </c>
      <c r="C9" s="5" t="n">
        <v>1</v>
      </c>
      <c r="D9" s="6" t="n">
        <v>20000</v>
      </c>
      <c r="E9" s="14">
        <f>C9*D9</f>
        <v/>
      </c>
    </row>
    <row r="10">
      <c r="A10" s="17" t="inlineStr">
        <is>
          <t>Estudio de impacto vial, habilitación técnica MTC y licencias (Modalidad D)</t>
        </is>
      </c>
      <c r="B10" t="inlineStr">
        <is>
          <t>glb</t>
        </is>
      </c>
      <c r="C10" s="5" t="n">
        <v>1</v>
      </c>
      <c r="D10" s="6" t="n">
        <v>25000</v>
      </c>
      <c r="E10" s="14">
        <f>C10*D10</f>
        <v/>
      </c>
    </row>
    <row r="11">
      <c r="D11" t="inlineStr">
        <is>
          <t>Inversión (con imprevistos y factor de escenario)</t>
        </is>
      </c>
      <c r="E11" s="8">
        <f>SUM(E6:E10)*(1+Supuestos!$B$6)*Supuestos!$B$22</f>
        <v/>
      </c>
    </row>
    <row r="12">
      <c r="D12" t="inlineStr">
        <is>
          <t>Año de inversión (opera desde el año siguiente)</t>
        </is>
      </c>
      <c r="E12" s="19" t="n">
        <v>0</v>
      </c>
    </row>
    <row r="13">
      <c r="D13" t="inlineStr">
        <is>
          <t>Ingreso bruto potencial S/ por mes - pesimista</t>
        </is>
      </c>
      <c r="E13" s="6" t="n">
        <v>2680</v>
      </c>
    </row>
    <row r="14">
      <c r="D14" t="inlineStr">
        <is>
          <t>Ingreso bruto potencial S/ por mes - base</t>
        </is>
      </c>
      <c r="E14" s="6" t="n">
        <v>4800</v>
      </c>
    </row>
    <row r="15">
      <c r="D15" t="inlineStr">
        <is>
          <t>Ingreso bruto potencial S/ por mes - optimista</t>
        </is>
      </c>
      <c r="E15" s="6" t="n">
        <v>7400</v>
      </c>
    </row>
    <row r="16">
      <c r="D16" t="inlineStr">
        <is>
          <t>Ocupación cobrada - pesimista</t>
        </is>
      </c>
      <c r="E16" s="3" t="n">
        <v>1</v>
      </c>
    </row>
    <row r="17">
      <c r="D17" t="inlineStr">
        <is>
          <t>Ocupación cobrada - base</t>
        </is>
      </c>
      <c r="E17" s="3" t="n">
        <v>1</v>
      </c>
    </row>
    <row r="18">
      <c r="D18" t="inlineStr">
        <is>
          <t>Ocupación cobrada - optimista</t>
        </is>
      </c>
      <c r="E18" s="3" t="n">
        <v>1</v>
      </c>
    </row>
    <row r="19">
      <c r="D19" t="inlineStr">
        <is>
          <t>Gastos fijos S/ por año (personal, energía, mantenimiento, seguro, predial)</t>
        </is>
      </c>
      <c r="E19" s="6" t="n">
        <v>33945.4</v>
      </c>
    </row>
    <row r="20">
      <c r="D20" t="inlineStr">
        <is>
          <t>Gastos variables (% del ingreso cobrado)</t>
        </is>
      </c>
      <c r="E20" s="3" t="n">
        <v>0</v>
      </c>
    </row>
    <row r="21">
      <c r="D21" t="inlineStr">
        <is>
          <t>Impuestos (% del ingreso cobrado)</t>
        </is>
      </c>
      <c r="E21" s="3" t="n">
        <v>0.03</v>
      </c>
    </row>
    <row r="22">
      <c r="D22" t="inlineStr">
        <is>
          <t>Ingreso relativo 1.er año de operación</t>
        </is>
      </c>
      <c r="E22" s="3" t="n">
        <v>0.6</v>
      </c>
    </row>
    <row r="23">
      <c r="D23" t="inlineStr">
        <is>
          <t>Ingreso relativo 2.º año de operación</t>
        </is>
      </c>
      <c r="E23" s="3" t="n">
        <v>0.85</v>
      </c>
    </row>
    <row r="24">
      <c r="D24" t="inlineStr">
        <is>
          <t>Vida útil para valor residual (años)</t>
        </is>
      </c>
      <c r="E24" s="19" t="n">
        <v>40</v>
      </c>
    </row>
    <row r="26">
      <c r="A26" s="7" t="inlineStr">
        <is>
          <t>FLUJO DE CAJA (S/ nominales)</t>
        </is>
      </c>
    </row>
    <row r="27">
      <c r="A27" s="20" t="inlineStr">
        <is>
          <t>Concepto / año</t>
        </is>
      </c>
      <c r="C27" s="20" t="n">
        <v>0</v>
      </c>
      <c r="D27" s="20" t="n">
        <v>1</v>
      </c>
      <c r="E27" s="20" t="n">
        <v>2</v>
      </c>
      <c r="F27" s="20" t="n">
        <v>3</v>
      </c>
      <c r="G27" s="20" t="n">
        <v>4</v>
      </c>
      <c r="H27" s="20" t="n">
        <v>5</v>
      </c>
      <c r="I27" s="20" t="n">
        <v>6</v>
      </c>
      <c r="J27" s="20" t="n">
        <v>7</v>
      </c>
      <c r="K27" s="20" t="n">
        <v>8</v>
      </c>
      <c r="L27" s="20" t="n">
        <v>9</v>
      </c>
      <c r="M27" s="20" t="n">
        <v>10</v>
      </c>
      <c r="N27" s="20" t="n">
        <v>11</v>
      </c>
      <c r="O27" s="20" t="n">
        <v>12</v>
      </c>
      <c r="P27" s="20" t="n">
        <v>13</v>
      </c>
      <c r="Q27" s="20" t="n">
        <v>14</v>
      </c>
      <c r="R27" s="20" t="n">
        <v>15</v>
      </c>
      <c r="S27" s="20" t="n">
        <v>16</v>
      </c>
      <c r="T27" s="20" t="n">
        <v>17</v>
      </c>
      <c r="U27" s="20" t="n">
        <v>18</v>
      </c>
      <c r="V27" s="20" t="n">
        <v>19</v>
      </c>
      <c r="W27" s="20" t="n">
        <v>20</v>
      </c>
    </row>
    <row r="28">
      <c r="A28" s="21" t="inlineStr">
        <is>
          <t xml:space="preserve">  Inversión - fase 1</t>
        </is>
      </c>
      <c r="C28" s="14">
        <f>IF(C$27=$E$12,-$E$11*(1+Supuestos!$B$5)^MAX($E$12-1,0),0)</f>
        <v/>
      </c>
      <c r="D28" s="14">
        <f>IF(D$27=$E$12,-$E$11*(1+Supuestos!$B$5)^MAX($E$12-1,0),0)</f>
        <v/>
      </c>
      <c r="E28" s="14">
        <f>IF(E$27=$E$12,-$E$11*(1+Supuestos!$B$5)^MAX($E$12-1,0),0)</f>
        <v/>
      </c>
      <c r="F28" s="14">
        <f>IF(F$27=$E$12,-$E$11*(1+Supuestos!$B$5)^MAX($E$12-1,0),0)</f>
        <v/>
      </c>
      <c r="G28" s="14">
        <f>IF(G$27=$E$12,-$E$11*(1+Supuestos!$B$5)^MAX($E$12-1,0),0)</f>
        <v/>
      </c>
      <c r="H28" s="14">
        <f>IF(H$27=$E$12,-$E$11*(1+Supuestos!$B$5)^MAX($E$12-1,0),0)</f>
        <v/>
      </c>
      <c r="I28" s="14">
        <f>IF(I$27=$E$12,-$E$11*(1+Supuestos!$B$5)^MAX($E$12-1,0),0)</f>
        <v/>
      </c>
      <c r="J28" s="14">
        <f>IF(J$27=$E$12,-$E$11*(1+Supuestos!$B$5)^MAX($E$12-1,0),0)</f>
        <v/>
      </c>
      <c r="K28" s="14">
        <f>IF(K$27=$E$12,-$E$11*(1+Supuestos!$B$5)^MAX($E$12-1,0),0)</f>
        <v/>
      </c>
      <c r="L28" s="14">
        <f>IF(L$27=$E$12,-$E$11*(1+Supuestos!$B$5)^MAX($E$12-1,0),0)</f>
        <v/>
      </c>
      <c r="M28" s="14">
        <f>IF(M$27=$E$12,-$E$11*(1+Supuestos!$B$5)^MAX($E$12-1,0),0)</f>
        <v/>
      </c>
      <c r="N28" s="14">
        <f>IF(N$27=$E$12,-$E$11*(1+Supuestos!$B$5)^MAX($E$12-1,0),0)</f>
        <v/>
      </c>
      <c r="O28" s="14">
        <f>IF(O$27=$E$12,-$E$11*(1+Supuestos!$B$5)^MAX($E$12-1,0),0)</f>
        <v/>
      </c>
      <c r="P28" s="14">
        <f>IF(P$27=$E$12,-$E$11*(1+Supuestos!$B$5)^MAX($E$12-1,0),0)</f>
        <v/>
      </c>
      <c r="Q28" s="14">
        <f>IF(Q$27=$E$12,-$E$11*(1+Supuestos!$B$5)^MAX($E$12-1,0),0)</f>
        <v/>
      </c>
      <c r="R28" s="14">
        <f>IF(R$27=$E$12,-$E$11*(1+Supuestos!$B$5)^MAX($E$12-1,0),0)</f>
        <v/>
      </c>
      <c r="S28" s="14">
        <f>IF(S$27=$E$12,-$E$11*(1+Supuestos!$B$5)^MAX($E$12-1,0),0)</f>
        <v/>
      </c>
      <c r="T28" s="14">
        <f>IF(T$27=$E$12,-$E$11*(1+Supuestos!$B$5)^MAX($E$12-1,0),0)</f>
        <v/>
      </c>
      <c r="U28" s="14">
        <f>IF(U$27=$E$12,-$E$11*(1+Supuestos!$B$5)^MAX($E$12-1,0),0)</f>
        <v/>
      </c>
      <c r="V28" s="14">
        <f>IF(V$27=$E$12,-$E$11*(1+Supuestos!$B$5)^MAX($E$12-1,0),0)</f>
        <v/>
      </c>
      <c r="W28" s="14">
        <f>IF(W$27=$E$12,-$E$11*(1+Supuestos!$B$5)^MAX($E$12-1,0),0)</f>
        <v/>
      </c>
    </row>
    <row r="29">
      <c r="A29" s="21" t="inlineStr">
        <is>
          <t xml:space="preserve">  Ingresos cobrados - fase 1</t>
        </is>
      </c>
      <c r="C29" s="14">
        <f>IF((C$27-$E$12)&gt;=1,CHOOSE(Supuestos!$B$3,$E$13,$E$14,$E$15)*12*CHOOSE(Supuestos!$B$3,$E$16,$E$17,$E$18)*IF((C$27-$E$12)=1,$E$22,IF((C$27-$E$12)=2,$E$23,1))*(1+Supuestos!$B$5)^MAX(C$27-1,0),0)</f>
        <v/>
      </c>
      <c r="D29" s="14">
        <f>IF((D$27-$E$12)&gt;=1,CHOOSE(Supuestos!$B$3,$E$13,$E$14,$E$15)*12*CHOOSE(Supuestos!$B$3,$E$16,$E$17,$E$18)*IF((D$27-$E$12)=1,$E$22,IF((D$27-$E$12)=2,$E$23,1))*(1+Supuestos!$B$5)^MAX(D$27-1,0),0)</f>
        <v/>
      </c>
      <c r="E29" s="14">
        <f>IF((E$27-$E$12)&gt;=1,CHOOSE(Supuestos!$B$3,$E$13,$E$14,$E$15)*12*CHOOSE(Supuestos!$B$3,$E$16,$E$17,$E$18)*IF((E$27-$E$12)=1,$E$22,IF((E$27-$E$12)=2,$E$23,1))*(1+Supuestos!$B$5)^MAX(E$27-1,0),0)</f>
        <v/>
      </c>
      <c r="F29" s="14">
        <f>IF((F$27-$E$12)&gt;=1,CHOOSE(Supuestos!$B$3,$E$13,$E$14,$E$15)*12*CHOOSE(Supuestos!$B$3,$E$16,$E$17,$E$18)*IF((F$27-$E$12)=1,$E$22,IF((F$27-$E$12)=2,$E$23,1))*(1+Supuestos!$B$5)^MAX(F$27-1,0),0)</f>
        <v/>
      </c>
      <c r="G29" s="14">
        <f>IF((G$27-$E$12)&gt;=1,CHOOSE(Supuestos!$B$3,$E$13,$E$14,$E$15)*12*CHOOSE(Supuestos!$B$3,$E$16,$E$17,$E$18)*IF((G$27-$E$12)=1,$E$22,IF((G$27-$E$12)=2,$E$23,1))*(1+Supuestos!$B$5)^MAX(G$27-1,0),0)</f>
        <v/>
      </c>
      <c r="H29" s="14">
        <f>IF((H$27-$E$12)&gt;=1,CHOOSE(Supuestos!$B$3,$E$13,$E$14,$E$15)*12*CHOOSE(Supuestos!$B$3,$E$16,$E$17,$E$18)*IF((H$27-$E$12)=1,$E$22,IF((H$27-$E$12)=2,$E$23,1))*(1+Supuestos!$B$5)^MAX(H$27-1,0),0)</f>
        <v/>
      </c>
      <c r="I29" s="14">
        <f>IF((I$27-$E$12)&gt;=1,CHOOSE(Supuestos!$B$3,$E$13,$E$14,$E$15)*12*CHOOSE(Supuestos!$B$3,$E$16,$E$17,$E$18)*IF((I$27-$E$12)=1,$E$22,IF((I$27-$E$12)=2,$E$23,1))*(1+Supuestos!$B$5)^MAX(I$27-1,0),0)</f>
        <v/>
      </c>
      <c r="J29" s="14">
        <f>IF((J$27-$E$12)&gt;=1,CHOOSE(Supuestos!$B$3,$E$13,$E$14,$E$15)*12*CHOOSE(Supuestos!$B$3,$E$16,$E$17,$E$18)*IF((J$27-$E$12)=1,$E$22,IF((J$27-$E$12)=2,$E$23,1))*(1+Supuestos!$B$5)^MAX(J$27-1,0),0)</f>
        <v/>
      </c>
      <c r="K29" s="14">
        <f>IF((K$27-$E$12)&gt;=1,CHOOSE(Supuestos!$B$3,$E$13,$E$14,$E$15)*12*CHOOSE(Supuestos!$B$3,$E$16,$E$17,$E$18)*IF((K$27-$E$12)=1,$E$22,IF((K$27-$E$12)=2,$E$23,1))*(1+Supuestos!$B$5)^MAX(K$27-1,0),0)</f>
        <v/>
      </c>
      <c r="L29" s="14">
        <f>IF((L$27-$E$12)&gt;=1,CHOOSE(Supuestos!$B$3,$E$13,$E$14,$E$15)*12*CHOOSE(Supuestos!$B$3,$E$16,$E$17,$E$18)*IF((L$27-$E$12)=1,$E$22,IF((L$27-$E$12)=2,$E$23,1))*(1+Supuestos!$B$5)^MAX(L$27-1,0),0)</f>
        <v/>
      </c>
      <c r="M29" s="14">
        <f>IF((M$27-$E$12)&gt;=1,CHOOSE(Supuestos!$B$3,$E$13,$E$14,$E$15)*12*CHOOSE(Supuestos!$B$3,$E$16,$E$17,$E$18)*IF((M$27-$E$12)=1,$E$22,IF((M$27-$E$12)=2,$E$23,1))*(1+Supuestos!$B$5)^MAX(M$27-1,0),0)</f>
        <v/>
      </c>
      <c r="N29" s="14">
        <f>IF((N$27-$E$12)&gt;=1,CHOOSE(Supuestos!$B$3,$E$13,$E$14,$E$15)*12*CHOOSE(Supuestos!$B$3,$E$16,$E$17,$E$18)*IF((N$27-$E$12)=1,$E$22,IF((N$27-$E$12)=2,$E$23,1))*(1+Supuestos!$B$5)^MAX(N$27-1,0),0)</f>
        <v/>
      </c>
      <c r="O29" s="14">
        <f>IF((O$27-$E$12)&gt;=1,CHOOSE(Supuestos!$B$3,$E$13,$E$14,$E$15)*12*CHOOSE(Supuestos!$B$3,$E$16,$E$17,$E$18)*IF((O$27-$E$12)=1,$E$22,IF((O$27-$E$12)=2,$E$23,1))*(1+Supuestos!$B$5)^MAX(O$27-1,0),0)</f>
        <v/>
      </c>
      <c r="P29" s="14">
        <f>IF((P$27-$E$12)&gt;=1,CHOOSE(Supuestos!$B$3,$E$13,$E$14,$E$15)*12*CHOOSE(Supuestos!$B$3,$E$16,$E$17,$E$18)*IF((P$27-$E$12)=1,$E$22,IF((P$27-$E$12)=2,$E$23,1))*(1+Supuestos!$B$5)^MAX(P$27-1,0),0)</f>
        <v/>
      </c>
      <c r="Q29" s="14">
        <f>IF((Q$27-$E$12)&gt;=1,CHOOSE(Supuestos!$B$3,$E$13,$E$14,$E$15)*12*CHOOSE(Supuestos!$B$3,$E$16,$E$17,$E$18)*IF((Q$27-$E$12)=1,$E$22,IF((Q$27-$E$12)=2,$E$23,1))*(1+Supuestos!$B$5)^MAX(Q$27-1,0),0)</f>
        <v/>
      </c>
      <c r="R29" s="14">
        <f>IF((R$27-$E$12)&gt;=1,CHOOSE(Supuestos!$B$3,$E$13,$E$14,$E$15)*12*CHOOSE(Supuestos!$B$3,$E$16,$E$17,$E$18)*IF((R$27-$E$12)=1,$E$22,IF((R$27-$E$12)=2,$E$23,1))*(1+Supuestos!$B$5)^MAX(R$27-1,0),0)</f>
        <v/>
      </c>
      <c r="S29" s="14">
        <f>IF((S$27-$E$12)&gt;=1,CHOOSE(Supuestos!$B$3,$E$13,$E$14,$E$15)*12*CHOOSE(Supuestos!$B$3,$E$16,$E$17,$E$18)*IF((S$27-$E$12)=1,$E$22,IF((S$27-$E$12)=2,$E$23,1))*(1+Supuestos!$B$5)^MAX(S$27-1,0),0)</f>
        <v/>
      </c>
      <c r="T29" s="14">
        <f>IF((T$27-$E$12)&gt;=1,CHOOSE(Supuestos!$B$3,$E$13,$E$14,$E$15)*12*CHOOSE(Supuestos!$B$3,$E$16,$E$17,$E$18)*IF((T$27-$E$12)=1,$E$22,IF((T$27-$E$12)=2,$E$23,1))*(1+Supuestos!$B$5)^MAX(T$27-1,0),0)</f>
        <v/>
      </c>
      <c r="U29" s="14">
        <f>IF((U$27-$E$12)&gt;=1,CHOOSE(Supuestos!$B$3,$E$13,$E$14,$E$15)*12*CHOOSE(Supuestos!$B$3,$E$16,$E$17,$E$18)*IF((U$27-$E$12)=1,$E$22,IF((U$27-$E$12)=2,$E$23,1))*(1+Supuestos!$B$5)^MAX(U$27-1,0),0)</f>
        <v/>
      </c>
      <c r="V29" s="14">
        <f>IF((V$27-$E$12)&gt;=1,CHOOSE(Supuestos!$B$3,$E$13,$E$14,$E$15)*12*CHOOSE(Supuestos!$B$3,$E$16,$E$17,$E$18)*IF((V$27-$E$12)=1,$E$22,IF((V$27-$E$12)=2,$E$23,1))*(1+Supuestos!$B$5)^MAX(V$27-1,0),0)</f>
        <v/>
      </c>
      <c r="W29" s="14">
        <f>IF((W$27-$E$12)&gt;=1,CHOOSE(Supuestos!$B$3,$E$13,$E$14,$E$15)*12*CHOOSE(Supuestos!$B$3,$E$16,$E$17,$E$18)*IF((W$27-$E$12)=1,$E$22,IF((W$27-$E$12)=2,$E$23,1))*(1+Supuestos!$B$5)^MAX(W$27-1,0),0)</f>
        <v/>
      </c>
    </row>
    <row r="30">
      <c r="A30" s="21" t="inlineStr">
        <is>
          <t xml:space="preserve">  Gastos - fase 1</t>
        </is>
      </c>
      <c r="C30" s="14">
        <f>IF((C$27-$E$12)&gt;=1,-$E$19*(1+Supuestos!$B$5)^MAX(C$27-1,0)-$E$20*C29,0)</f>
        <v/>
      </c>
      <c r="D30" s="14">
        <f>IF((D$27-$E$12)&gt;=1,-$E$19*(1+Supuestos!$B$5)^MAX(D$27-1,0)-$E$20*D29,0)</f>
        <v/>
      </c>
      <c r="E30" s="14">
        <f>IF((E$27-$E$12)&gt;=1,-$E$19*(1+Supuestos!$B$5)^MAX(E$27-1,0)-$E$20*E29,0)</f>
        <v/>
      </c>
      <c r="F30" s="14">
        <f>IF((F$27-$E$12)&gt;=1,-$E$19*(1+Supuestos!$B$5)^MAX(F$27-1,0)-$E$20*F29,0)</f>
        <v/>
      </c>
      <c r="G30" s="14">
        <f>IF((G$27-$E$12)&gt;=1,-$E$19*(1+Supuestos!$B$5)^MAX(G$27-1,0)-$E$20*G29,0)</f>
        <v/>
      </c>
      <c r="H30" s="14">
        <f>IF((H$27-$E$12)&gt;=1,-$E$19*(1+Supuestos!$B$5)^MAX(H$27-1,0)-$E$20*H29,0)</f>
        <v/>
      </c>
      <c r="I30" s="14">
        <f>IF((I$27-$E$12)&gt;=1,-$E$19*(1+Supuestos!$B$5)^MAX(I$27-1,0)-$E$20*I29,0)</f>
        <v/>
      </c>
      <c r="J30" s="14">
        <f>IF((J$27-$E$12)&gt;=1,-$E$19*(1+Supuestos!$B$5)^MAX(J$27-1,0)-$E$20*J29,0)</f>
        <v/>
      </c>
      <c r="K30" s="14">
        <f>IF((K$27-$E$12)&gt;=1,-$E$19*(1+Supuestos!$B$5)^MAX(K$27-1,0)-$E$20*K29,0)</f>
        <v/>
      </c>
      <c r="L30" s="14">
        <f>IF((L$27-$E$12)&gt;=1,-$E$19*(1+Supuestos!$B$5)^MAX(L$27-1,0)-$E$20*L29,0)</f>
        <v/>
      </c>
      <c r="M30" s="14">
        <f>IF((M$27-$E$12)&gt;=1,-$E$19*(1+Supuestos!$B$5)^MAX(M$27-1,0)-$E$20*M29,0)</f>
        <v/>
      </c>
      <c r="N30" s="14">
        <f>IF((N$27-$E$12)&gt;=1,-$E$19*(1+Supuestos!$B$5)^MAX(N$27-1,0)-$E$20*N29,0)</f>
        <v/>
      </c>
      <c r="O30" s="14">
        <f>IF((O$27-$E$12)&gt;=1,-$E$19*(1+Supuestos!$B$5)^MAX(O$27-1,0)-$E$20*O29,0)</f>
        <v/>
      </c>
      <c r="P30" s="14">
        <f>IF((P$27-$E$12)&gt;=1,-$E$19*(1+Supuestos!$B$5)^MAX(P$27-1,0)-$E$20*P29,0)</f>
        <v/>
      </c>
      <c r="Q30" s="14">
        <f>IF((Q$27-$E$12)&gt;=1,-$E$19*(1+Supuestos!$B$5)^MAX(Q$27-1,0)-$E$20*Q29,0)</f>
        <v/>
      </c>
      <c r="R30" s="14">
        <f>IF((R$27-$E$12)&gt;=1,-$E$19*(1+Supuestos!$B$5)^MAX(R$27-1,0)-$E$20*R29,0)</f>
        <v/>
      </c>
      <c r="S30" s="14">
        <f>IF((S$27-$E$12)&gt;=1,-$E$19*(1+Supuestos!$B$5)^MAX(S$27-1,0)-$E$20*S29,0)</f>
        <v/>
      </c>
      <c r="T30" s="14">
        <f>IF((T$27-$E$12)&gt;=1,-$E$19*(1+Supuestos!$B$5)^MAX(T$27-1,0)-$E$20*T29,0)</f>
        <v/>
      </c>
      <c r="U30" s="14">
        <f>IF((U$27-$E$12)&gt;=1,-$E$19*(1+Supuestos!$B$5)^MAX(U$27-1,0)-$E$20*U29,0)</f>
        <v/>
      </c>
      <c r="V30" s="14">
        <f>IF((V$27-$E$12)&gt;=1,-$E$19*(1+Supuestos!$B$5)^MAX(V$27-1,0)-$E$20*V29,0)</f>
        <v/>
      </c>
      <c r="W30" s="14">
        <f>IF((W$27-$E$12)&gt;=1,-$E$19*(1+Supuestos!$B$5)^MAX(W$27-1,0)-$E$20*W29,0)</f>
        <v/>
      </c>
    </row>
    <row r="31">
      <c r="A31" s="21" t="inlineStr">
        <is>
          <t xml:space="preserve">  Impuestos - fase 1</t>
        </is>
      </c>
      <c r="C31" s="14">
        <f>-$E$21*C29</f>
        <v/>
      </c>
      <c r="D31" s="14">
        <f>-$E$21*D29</f>
        <v/>
      </c>
      <c r="E31" s="14">
        <f>-$E$21*E29</f>
        <v/>
      </c>
      <c r="F31" s="14">
        <f>-$E$21*F29</f>
        <v/>
      </c>
      <c r="G31" s="14">
        <f>-$E$21*G29</f>
        <v/>
      </c>
      <c r="H31" s="14">
        <f>-$E$21*H29</f>
        <v/>
      </c>
      <c r="I31" s="14">
        <f>-$E$21*I29</f>
        <v/>
      </c>
      <c r="J31" s="14">
        <f>-$E$21*J29</f>
        <v/>
      </c>
      <c r="K31" s="14">
        <f>-$E$21*K29</f>
        <v/>
      </c>
      <c r="L31" s="14">
        <f>-$E$21*L29</f>
        <v/>
      </c>
      <c r="M31" s="14">
        <f>-$E$21*M29</f>
        <v/>
      </c>
      <c r="N31" s="14">
        <f>-$E$21*N29</f>
        <v/>
      </c>
      <c r="O31" s="14">
        <f>-$E$21*O29</f>
        <v/>
      </c>
      <c r="P31" s="14">
        <f>-$E$21*P29</f>
        <v/>
      </c>
      <c r="Q31" s="14">
        <f>-$E$21*Q29</f>
        <v/>
      </c>
      <c r="R31" s="14">
        <f>-$E$21*R29</f>
        <v/>
      </c>
      <c r="S31" s="14">
        <f>-$E$21*S29</f>
        <v/>
      </c>
      <c r="T31" s="14">
        <f>-$E$21*T29</f>
        <v/>
      </c>
      <c r="U31" s="14">
        <f>-$E$21*U29</f>
        <v/>
      </c>
      <c r="V31" s="14">
        <f>-$E$21*V29</f>
        <v/>
      </c>
      <c r="W31" s="14">
        <f>-$E$21*W29</f>
        <v/>
      </c>
    </row>
    <row r="32">
      <c r="A32" s="21" t="inlineStr">
        <is>
          <t xml:space="preserve">  Reposiciones - fase 1</t>
        </is>
      </c>
      <c r="C32" s="14">
        <f>0</f>
        <v/>
      </c>
      <c r="D32" s="14">
        <f>0</f>
        <v/>
      </c>
      <c r="E32" s="14">
        <f>0</f>
        <v/>
      </c>
      <c r="F32" s="14">
        <f>0</f>
        <v/>
      </c>
      <c r="G32" s="14">
        <f>0</f>
        <v/>
      </c>
      <c r="H32" s="14">
        <f>0</f>
        <v/>
      </c>
      <c r="I32" s="14">
        <f>0</f>
        <v/>
      </c>
      <c r="J32" s="14">
        <f>0</f>
        <v/>
      </c>
      <c r="K32" s="14">
        <f>0</f>
        <v/>
      </c>
      <c r="L32" s="14">
        <f>0</f>
        <v/>
      </c>
      <c r="M32" s="14">
        <f>0</f>
        <v/>
      </c>
      <c r="N32" s="14">
        <f>0</f>
        <v/>
      </c>
      <c r="O32" s="14">
        <f>0</f>
        <v/>
      </c>
      <c r="P32" s="14">
        <f>0</f>
        <v/>
      </c>
      <c r="Q32" s="14">
        <f>0</f>
        <v/>
      </c>
      <c r="R32" s="14">
        <f>0</f>
        <v/>
      </c>
      <c r="S32" s="14">
        <f>0</f>
        <v/>
      </c>
      <c r="T32" s="14">
        <f>0</f>
        <v/>
      </c>
      <c r="U32" s="14">
        <f>0</f>
        <v/>
      </c>
      <c r="V32" s="14">
        <f>0</f>
        <v/>
      </c>
      <c r="W32" s="14">
        <f>0</f>
        <v/>
      </c>
    </row>
    <row r="33">
      <c r="A33" s="21" t="inlineStr">
        <is>
          <t xml:space="preserve">  Valor residual (año 20) - fase 1</t>
        </is>
      </c>
      <c r="C33" s="14">
        <f>IF(AND(C$27=20,$E$24&gt;1),$E$11*(1+Supuestos!$B$5)^MAX($E$12-1,0)*MAX(0,1-(20-$E$12)/$E$24),0)</f>
        <v/>
      </c>
      <c r="D33" s="14">
        <f>IF(AND(D$27=20,$E$24&gt;1),$E$11*(1+Supuestos!$B$5)^MAX($E$12-1,0)*MAX(0,1-(20-$E$12)/$E$24),0)</f>
        <v/>
      </c>
      <c r="E33" s="14">
        <f>IF(AND(E$27=20,$E$24&gt;1),$E$11*(1+Supuestos!$B$5)^MAX($E$12-1,0)*MAX(0,1-(20-$E$12)/$E$24),0)</f>
        <v/>
      </c>
      <c r="F33" s="14">
        <f>IF(AND(F$27=20,$E$24&gt;1),$E$11*(1+Supuestos!$B$5)^MAX($E$12-1,0)*MAX(0,1-(20-$E$12)/$E$24),0)</f>
        <v/>
      </c>
      <c r="G33" s="14">
        <f>IF(AND(G$27=20,$E$24&gt;1),$E$11*(1+Supuestos!$B$5)^MAX($E$12-1,0)*MAX(0,1-(20-$E$12)/$E$24),0)</f>
        <v/>
      </c>
      <c r="H33" s="14">
        <f>IF(AND(H$27=20,$E$24&gt;1),$E$11*(1+Supuestos!$B$5)^MAX($E$12-1,0)*MAX(0,1-(20-$E$12)/$E$24),0)</f>
        <v/>
      </c>
      <c r="I33" s="14">
        <f>IF(AND(I$27=20,$E$24&gt;1),$E$11*(1+Supuestos!$B$5)^MAX($E$12-1,0)*MAX(0,1-(20-$E$12)/$E$24),0)</f>
        <v/>
      </c>
      <c r="J33" s="14">
        <f>IF(AND(J$27=20,$E$24&gt;1),$E$11*(1+Supuestos!$B$5)^MAX($E$12-1,0)*MAX(0,1-(20-$E$12)/$E$24),0)</f>
        <v/>
      </c>
      <c r="K33" s="14">
        <f>IF(AND(K$27=20,$E$24&gt;1),$E$11*(1+Supuestos!$B$5)^MAX($E$12-1,0)*MAX(0,1-(20-$E$12)/$E$24),0)</f>
        <v/>
      </c>
      <c r="L33" s="14">
        <f>IF(AND(L$27=20,$E$24&gt;1),$E$11*(1+Supuestos!$B$5)^MAX($E$12-1,0)*MAX(0,1-(20-$E$12)/$E$24),0)</f>
        <v/>
      </c>
      <c r="M33" s="14">
        <f>IF(AND(M$27=20,$E$24&gt;1),$E$11*(1+Supuestos!$B$5)^MAX($E$12-1,0)*MAX(0,1-(20-$E$12)/$E$24),0)</f>
        <v/>
      </c>
      <c r="N33" s="14">
        <f>IF(AND(N$27=20,$E$24&gt;1),$E$11*(1+Supuestos!$B$5)^MAX($E$12-1,0)*MAX(0,1-(20-$E$12)/$E$24),0)</f>
        <v/>
      </c>
      <c r="O33" s="14">
        <f>IF(AND(O$27=20,$E$24&gt;1),$E$11*(1+Supuestos!$B$5)^MAX($E$12-1,0)*MAX(0,1-(20-$E$12)/$E$24),0)</f>
        <v/>
      </c>
      <c r="P33" s="14">
        <f>IF(AND(P$27=20,$E$24&gt;1),$E$11*(1+Supuestos!$B$5)^MAX($E$12-1,0)*MAX(0,1-(20-$E$12)/$E$24),0)</f>
        <v/>
      </c>
      <c r="Q33" s="14">
        <f>IF(AND(Q$27=20,$E$24&gt;1),$E$11*(1+Supuestos!$B$5)^MAX($E$12-1,0)*MAX(0,1-(20-$E$12)/$E$24),0)</f>
        <v/>
      </c>
      <c r="R33" s="14">
        <f>IF(AND(R$27=20,$E$24&gt;1),$E$11*(1+Supuestos!$B$5)^MAX($E$12-1,0)*MAX(0,1-(20-$E$12)/$E$24),0)</f>
        <v/>
      </c>
      <c r="S33" s="14">
        <f>IF(AND(S$27=20,$E$24&gt;1),$E$11*(1+Supuestos!$B$5)^MAX($E$12-1,0)*MAX(0,1-(20-$E$12)/$E$24),0)</f>
        <v/>
      </c>
      <c r="T33" s="14">
        <f>IF(AND(T$27=20,$E$24&gt;1),$E$11*(1+Supuestos!$B$5)^MAX($E$12-1,0)*MAX(0,1-(20-$E$12)/$E$24),0)</f>
        <v/>
      </c>
      <c r="U33" s="14">
        <f>IF(AND(U$27=20,$E$24&gt;1),$E$11*(1+Supuestos!$B$5)^MAX($E$12-1,0)*MAX(0,1-(20-$E$12)/$E$24),0)</f>
        <v/>
      </c>
      <c r="V33" s="14">
        <f>IF(AND(V$27=20,$E$24&gt;1),$E$11*(1+Supuestos!$B$5)^MAX($E$12-1,0)*MAX(0,1-(20-$E$12)/$E$24),0)</f>
        <v/>
      </c>
      <c r="W33" s="14">
        <f>IF(AND(W$27=20,$E$24&gt;1),$E$11*(1+Supuestos!$B$5)^MAX($E$12-1,0)*MAX(0,1-(20-$E$12)/$E$24),0)</f>
        <v/>
      </c>
    </row>
    <row r="34">
      <c r="A34" s="7" t="inlineStr">
        <is>
          <t>Inversión</t>
        </is>
      </c>
      <c r="C34" s="22">
        <f>C28</f>
        <v/>
      </c>
      <c r="D34" s="22">
        <f>D28</f>
        <v/>
      </c>
      <c r="E34" s="22">
        <f>E28</f>
        <v/>
      </c>
      <c r="F34" s="22">
        <f>F28</f>
        <v/>
      </c>
      <c r="G34" s="22">
        <f>G28</f>
        <v/>
      </c>
      <c r="H34" s="22">
        <f>H28</f>
        <v/>
      </c>
      <c r="I34" s="22">
        <f>I28</f>
        <v/>
      </c>
      <c r="J34" s="22">
        <f>J28</f>
        <v/>
      </c>
      <c r="K34" s="22">
        <f>K28</f>
        <v/>
      </c>
      <c r="L34" s="22">
        <f>L28</f>
        <v/>
      </c>
      <c r="M34" s="22">
        <f>M28</f>
        <v/>
      </c>
      <c r="N34" s="22">
        <f>N28</f>
        <v/>
      </c>
      <c r="O34" s="22">
        <f>O28</f>
        <v/>
      </c>
      <c r="P34" s="22">
        <f>P28</f>
        <v/>
      </c>
      <c r="Q34" s="22">
        <f>Q28</f>
        <v/>
      </c>
      <c r="R34" s="22">
        <f>R28</f>
        <v/>
      </c>
      <c r="S34" s="22">
        <f>S28</f>
        <v/>
      </c>
      <c r="T34" s="22">
        <f>T28</f>
        <v/>
      </c>
      <c r="U34" s="22">
        <f>U28</f>
        <v/>
      </c>
      <c r="V34" s="22">
        <f>V28</f>
        <v/>
      </c>
      <c r="W34" s="22">
        <f>W28</f>
        <v/>
      </c>
    </row>
    <row r="35">
      <c r="A35" s="7" t="inlineStr">
        <is>
          <t>Ingresos cobrados</t>
        </is>
      </c>
      <c r="C35" s="22">
        <f>C29</f>
        <v/>
      </c>
      <c r="D35" s="22">
        <f>D29</f>
        <v/>
      </c>
      <c r="E35" s="22">
        <f>E29</f>
        <v/>
      </c>
      <c r="F35" s="22">
        <f>F29</f>
        <v/>
      </c>
      <c r="G35" s="22">
        <f>G29</f>
        <v/>
      </c>
      <c r="H35" s="22">
        <f>H29</f>
        <v/>
      </c>
      <c r="I35" s="22">
        <f>I29</f>
        <v/>
      </c>
      <c r="J35" s="22">
        <f>J29</f>
        <v/>
      </c>
      <c r="K35" s="22">
        <f>K29</f>
        <v/>
      </c>
      <c r="L35" s="22">
        <f>L29</f>
        <v/>
      </c>
      <c r="M35" s="22">
        <f>M29</f>
        <v/>
      </c>
      <c r="N35" s="22">
        <f>N29</f>
        <v/>
      </c>
      <c r="O35" s="22">
        <f>O29</f>
        <v/>
      </c>
      <c r="P35" s="22">
        <f>P29</f>
        <v/>
      </c>
      <c r="Q35" s="22">
        <f>Q29</f>
        <v/>
      </c>
      <c r="R35" s="22">
        <f>R29</f>
        <v/>
      </c>
      <c r="S35" s="22">
        <f>S29</f>
        <v/>
      </c>
      <c r="T35" s="22">
        <f>T29</f>
        <v/>
      </c>
      <c r="U35" s="22">
        <f>U29</f>
        <v/>
      </c>
      <c r="V35" s="22">
        <f>V29</f>
        <v/>
      </c>
      <c r="W35" s="22">
        <f>W29</f>
        <v/>
      </c>
    </row>
    <row r="36">
      <c r="A36" s="7" t="inlineStr">
        <is>
          <t>Gastos</t>
        </is>
      </c>
      <c r="C36" s="22">
        <f>C30</f>
        <v/>
      </c>
      <c r="D36" s="22">
        <f>D30</f>
        <v/>
      </c>
      <c r="E36" s="22">
        <f>E30</f>
        <v/>
      </c>
      <c r="F36" s="22">
        <f>F30</f>
        <v/>
      </c>
      <c r="G36" s="22">
        <f>G30</f>
        <v/>
      </c>
      <c r="H36" s="22">
        <f>H30</f>
        <v/>
      </c>
      <c r="I36" s="22">
        <f>I30</f>
        <v/>
      </c>
      <c r="J36" s="22">
        <f>J30</f>
        <v/>
      </c>
      <c r="K36" s="22">
        <f>K30</f>
        <v/>
      </c>
      <c r="L36" s="22">
        <f>L30</f>
        <v/>
      </c>
      <c r="M36" s="22">
        <f>M30</f>
        <v/>
      </c>
      <c r="N36" s="22">
        <f>N30</f>
        <v/>
      </c>
      <c r="O36" s="22">
        <f>O30</f>
        <v/>
      </c>
      <c r="P36" s="22">
        <f>P30</f>
        <v/>
      </c>
      <c r="Q36" s="22">
        <f>Q30</f>
        <v/>
      </c>
      <c r="R36" s="22">
        <f>R30</f>
        <v/>
      </c>
      <c r="S36" s="22">
        <f>S30</f>
        <v/>
      </c>
      <c r="T36" s="22">
        <f>T30</f>
        <v/>
      </c>
      <c r="U36" s="22">
        <f>U30</f>
        <v/>
      </c>
      <c r="V36" s="22">
        <f>V30</f>
        <v/>
      </c>
      <c r="W36" s="22">
        <f>W30</f>
        <v/>
      </c>
    </row>
    <row r="37">
      <c r="A37" s="7" t="inlineStr">
        <is>
          <t>Impuestos</t>
        </is>
      </c>
      <c r="C37" s="22">
        <f>C31</f>
        <v/>
      </c>
      <c r="D37" s="22">
        <f>D31</f>
        <v/>
      </c>
      <c r="E37" s="22">
        <f>E31</f>
        <v/>
      </c>
      <c r="F37" s="22">
        <f>F31</f>
        <v/>
      </c>
      <c r="G37" s="22">
        <f>G31</f>
        <v/>
      </c>
      <c r="H37" s="22">
        <f>H31</f>
        <v/>
      </c>
      <c r="I37" s="22">
        <f>I31</f>
        <v/>
      </c>
      <c r="J37" s="22">
        <f>J31</f>
        <v/>
      </c>
      <c r="K37" s="22">
        <f>K31</f>
        <v/>
      </c>
      <c r="L37" s="22">
        <f>L31</f>
        <v/>
      </c>
      <c r="M37" s="22">
        <f>M31</f>
        <v/>
      </c>
      <c r="N37" s="22">
        <f>N31</f>
        <v/>
      </c>
      <c r="O37" s="22">
        <f>O31</f>
        <v/>
      </c>
      <c r="P37" s="22">
        <f>P31</f>
        <v/>
      </c>
      <c r="Q37" s="22">
        <f>Q31</f>
        <v/>
      </c>
      <c r="R37" s="22">
        <f>R31</f>
        <v/>
      </c>
      <c r="S37" s="22">
        <f>S31</f>
        <v/>
      </c>
      <c r="T37" s="22">
        <f>T31</f>
        <v/>
      </c>
      <c r="U37" s="22">
        <f>U31</f>
        <v/>
      </c>
      <c r="V37" s="22">
        <f>V31</f>
        <v/>
      </c>
      <c r="W37" s="22">
        <f>W31</f>
        <v/>
      </c>
    </row>
    <row r="38">
      <c r="A38" s="7" t="inlineStr">
        <is>
          <t>Reposiciones</t>
        </is>
      </c>
      <c r="C38" s="22">
        <f>C32</f>
        <v/>
      </c>
      <c r="D38" s="22">
        <f>D32</f>
        <v/>
      </c>
      <c r="E38" s="22">
        <f>E32</f>
        <v/>
      </c>
      <c r="F38" s="22">
        <f>F32</f>
        <v/>
      </c>
      <c r="G38" s="22">
        <f>G32</f>
        <v/>
      </c>
      <c r="H38" s="22">
        <f>H32</f>
        <v/>
      </c>
      <c r="I38" s="22">
        <f>I32</f>
        <v/>
      </c>
      <c r="J38" s="22">
        <f>J32</f>
        <v/>
      </c>
      <c r="K38" s="22">
        <f>K32</f>
        <v/>
      </c>
      <c r="L38" s="22">
        <f>L32</f>
        <v/>
      </c>
      <c r="M38" s="22">
        <f>M32</f>
        <v/>
      </c>
      <c r="N38" s="22">
        <f>N32</f>
        <v/>
      </c>
      <c r="O38" s="22">
        <f>O32</f>
        <v/>
      </c>
      <c r="P38" s="22">
        <f>P32</f>
        <v/>
      </c>
      <c r="Q38" s="22">
        <f>Q32</f>
        <v/>
      </c>
      <c r="R38" s="22">
        <f>R32</f>
        <v/>
      </c>
      <c r="S38" s="22">
        <f>S32</f>
        <v/>
      </c>
      <c r="T38" s="22">
        <f>T32</f>
        <v/>
      </c>
      <c r="U38" s="22">
        <f>U32</f>
        <v/>
      </c>
      <c r="V38" s="22">
        <f>V32</f>
        <v/>
      </c>
      <c r="W38" s="22">
        <f>W32</f>
        <v/>
      </c>
    </row>
    <row r="39">
      <c r="A39" s="7" t="inlineStr">
        <is>
          <t>Valor residual (año 20)</t>
        </is>
      </c>
      <c r="C39" s="22">
        <f>C33</f>
        <v/>
      </c>
      <c r="D39" s="22">
        <f>D33</f>
        <v/>
      </c>
      <c r="E39" s="22">
        <f>E33</f>
        <v/>
      </c>
      <c r="F39" s="22">
        <f>F33</f>
        <v/>
      </c>
      <c r="G39" s="22">
        <f>G33</f>
        <v/>
      </c>
      <c r="H39" s="22">
        <f>H33</f>
        <v/>
      </c>
      <c r="I39" s="22">
        <f>I33</f>
        <v/>
      </c>
      <c r="J39" s="22">
        <f>J33</f>
        <v/>
      </c>
      <c r="K39" s="22">
        <f>K33</f>
        <v/>
      </c>
      <c r="L39" s="22">
        <f>L33</f>
        <v/>
      </c>
      <c r="M39" s="22">
        <f>M33</f>
        <v/>
      </c>
      <c r="N39" s="22">
        <f>N33</f>
        <v/>
      </c>
      <c r="O39" s="22">
        <f>O33</f>
        <v/>
      </c>
      <c r="P39" s="22">
        <f>P33</f>
        <v/>
      </c>
      <c r="Q39" s="22">
        <f>Q33</f>
        <v/>
      </c>
      <c r="R39" s="22">
        <f>R33</f>
        <v/>
      </c>
      <c r="S39" s="22">
        <f>S33</f>
        <v/>
      </c>
      <c r="T39" s="22">
        <f>T33</f>
        <v/>
      </c>
      <c r="U39" s="22">
        <f>U33</f>
        <v/>
      </c>
      <c r="V39" s="22">
        <f>V33</f>
        <v/>
      </c>
      <c r="W39" s="22">
        <f>W33</f>
        <v/>
      </c>
    </row>
    <row r="40">
      <c r="A40" s="7" t="inlineStr">
        <is>
          <t>FLUJO NETO</t>
        </is>
      </c>
      <c r="C40" s="8">
        <f>C34+C35+C36+C37+C38+C39</f>
        <v/>
      </c>
      <c r="D40" s="8">
        <f>D34+D35+D36+D37+D38+D39</f>
        <v/>
      </c>
      <c r="E40" s="8">
        <f>E34+E35+E36+E37+E38+E39</f>
        <v/>
      </c>
      <c r="F40" s="8">
        <f>F34+F35+F36+F37+F38+F39</f>
        <v/>
      </c>
      <c r="G40" s="8">
        <f>G34+G35+G36+G37+G38+G39</f>
        <v/>
      </c>
      <c r="H40" s="8">
        <f>H34+H35+H36+H37+H38+H39</f>
        <v/>
      </c>
      <c r="I40" s="8">
        <f>I34+I35+I36+I37+I38+I39</f>
        <v/>
      </c>
      <c r="J40" s="8">
        <f>J34+J35+J36+J37+J38+J39</f>
        <v/>
      </c>
      <c r="K40" s="8">
        <f>K34+K35+K36+K37+K38+K39</f>
        <v/>
      </c>
      <c r="L40" s="8">
        <f>L34+L35+L36+L37+L38+L39</f>
        <v/>
      </c>
      <c r="M40" s="8">
        <f>M34+M35+M36+M37+M38+M39</f>
        <v/>
      </c>
      <c r="N40" s="8">
        <f>N34+N35+N36+N37+N38+N39</f>
        <v/>
      </c>
      <c r="O40" s="8">
        <f>O34+O35+O36+O37+O38+O39</f>
        <v/>
      </c>
      <c r="P40" s="8">
        <f>P34+P35+P36+P37+P38+P39</f>
        <v/>
      </c>
      <c r="Q40" s="8">
        <f>Q34+Q35+Q36+Q37+Q38+Q39</f>
        <v/>
      </c>
      <c r="R40" s="8">
        <f>R34+R35+R36+R37+R38+R39</f>
        <v/>
      </c>
      <c r="S40" s="8">
        <f>S34+S35+S36+S37+S38+S39</f>
        <v/>
      </c>
      <c r="T40" s="8">
        <f>T34+T35+T36+T37+T38+T39</f>
        <v/>
      </c>
      <c r="U40" s="8">
        <f>U34+U35+U36+U37+U38+U39</f>
        <v/>
      </c>
      <c r="V40" s="8">
        <f>V34+V35+V36+V37+V38+V39</f>
        <v/>
      </c>
      <c r="W40" s="8">
        <f>W34+W35+W36+W37+W38+W39</f>
        <v/>
      </c>
    </row>
    <row r="41">
      <c r="A41" s="7" t="inlineStr">
        <is>
          <t>Caja acumulada (sin valor residual)</t>
        </is>
      </c>
      <c r="C41" s="14">
        <f>C40-C39</f>
        <v/>
      </c>
      <c r="D41" s="14">
        <f>C41+D40-D39</f>
        <v/>
      </c>
      <c r="E41" s="14">
        <f>D41+E40-E39</f>
        <v/>
      </c>
      <c r="F41" s="14">
        <f>E41+F40-F39</f>
        <v/>
      </c>
      <c r="G41" s="14">
        <f>F41+G40-G39</f>
        <v/>
      </c>
      <c r="H41" s="14">
        <f>G41+H40-H39</f>
        <v/>
      </c>
      <c r="I41" s="14">
        <f>H41+I40-I39</f>
        <v/>
      </c>
      <c r="J41" s="14">
        <f>I41+J40-J39</f>
        <v/>
      </c>
      <c r="K41" s="14">
        <f>J41+K40-K39</f>
        <v/>
      </c>
      <c r="L41" s="14">
        <f>K41+L40-L39</f>
        <v/>
      </c>
      <c r="M41" s="14">
        <f>L41+M40-M39</f>
        <v/>
      </c>
      <c r="N41" s="14">
        <f>M41+N40-N39</f>
        <v/>
      </c>
      <c r="O41" s="14">
        <f>N41+O40-O39</f>
        <v/>
      </c>
      <c r="P41" s="14">
        <f>O41+P40-P39</f>
        <v/>
      </c>
      <c r="Q41" s="14">
        <f>P41+Q40-Q39</f>
        <v/>
      </c>
      <c r="R41" s="14">
        <f>Q41+R40-R39</f>
        <v/>
      </c>
      <c r="S41" s="14">
        <f>R41+S40-S39</f>
        <v/>
      </c>
      <c r="T41" s="14">
        <f>S41+T40-T39</f>
        <v/>
      </c>
      <c r="U41" s="14">
        <f>T41+U40-U39</f>
        <v/>
      </c>
      <c r="V41" s="14">
        <f>U41+V40-V39</f>
        <v/>
      </c>
      <c r="W41" s="14">
        <f>V41+W40-W39</f>
        <v/>
      </c>
    </row>
    <row r="42">
      <c r="A42" s="7" t="inlineStr">
        <is>
          <t>Flujo del propietario contando el terreno (lo aporta hoy y lo recupera valorizado)</t>
        </is>
      </c>
      <c r="C42" s="14">
        <f>C40-Supuestos!$B$21</f>
        <v/>
      </c>
      <c r="D42" s="14">
        <f>D40</f>
        <v/>
      </c>
      <c r="E42" s="14">
        <f>E40</f>
        <v/>
      </c>
      <c r="F42" s="14">
        <f>F40</f>
        <v/>
      </c>
      <c r="G42" s="14">
        <f>G40</f>
        <v/>
      </c>
      <c r="H42" s="14">
        <f>H40</f>
        <v/>
      </c>
      <c r="I42" s="14">
        <f>I40</f>
        <v/>
      </c>
      <c r="J42" s="14">
        <f>J40</f>
        <v/>
      </c>
      <c r="K42" s="14">
        <f>K40</f>
        <v/>
      </c>
      <c r="L42" s="14">
        <f>L40</f>
        <v/>
      </c>
      <c r="M42" s="14">
        <f>M40</f>
        <v/>
      </c>
      <c r="N42" s="14">
        <f>N40</f>
        <v/>
      </c>
      <c r="O42" s="14">
        <f>O40</f>
        <v/>
      </c>
      <c r="P42" s="14">
        <f>P40</f>
        <v/>
      </c>
      <c r="Q42" s="14">
        <f>Q40</f>
        <v/>
      </c>
      <c r="R42" s="14">
        <f>R40</f>
        <v/>
      </c>
      <c r="S42" s="14">
        <f>S40</f>
        <v/>
      </c>
      <c r="T42" s="14">
        <f>T40</f>
        <v/>
      </c>
      <c r="U42" s="14">
        <f>U40</f>
        <v/>
      </c>
      <c r="V42" s="14">
        <f>V40</f>
        <v/>
      </c>
      <c r="W42" s="14">
        <f>W40+Supuestos!$B$21*(1+Supuestos!$B$23)^20</f>
        <v/>
      </c>
    </row>
    <row r="44">
      <c r="A44" s="7" t="inlineStr">
        <is>
          <t>Inversión total</t>
        </is>
      </c>
      <c r="C44" s="8">
        <f>-SUM(C34:W34)</f>
        <v/>
      </c>
    </row>
    <row r="45">
      <c r="A45" s="7" t="inlineStr">
        <is>
          <t>VAN al 10%</t>
        </is>
      </c>
      <c r="C45" s="8">
        <f>C40+NPV(Supuestos!$B$4,D40:W40)</f>
        <v/>
      </c>
    </row>
    <row r="46">
      <c r="A46" s="7" t="inlineStr">
        <is>
          <t>TIR</t>
        </is>
      </c>
      <c r="C46" s="23">
        <f>IFERROR(IRR(C40:W40),IFERROR(IRR(C40:W40,-0.05),"no aplica"))</f>
        <v/>
      </c>
    </row>
    <row r="47">
      <c r="A47" s="7" t="inlineStr">
        <is>
          <t>Año en que se recupera la inversión (acumulado ≥ 0)</t>
        </is>
      </c>
      <c r="C47" s="24">
        <f>IF(-SUM(C34:W34)=0,"sin inversión",IFERROR(INDEX(C27:W27,MATCH(TRUE,INDEX(C41:W41&gt;=0,0),0)),"no en 20 años"))</f>
        <v/>
      </c>
    </row>
    <row r="48">
      <c r="A48" s="7" t="inlineStr">
        <is>
          <t>Caja neta del año 5 sin inversiones (S/ nominales)</t>
        </is>
      </c>
      <c r="C48" s="8">
        <f>H40-H34</f>
        <v/>
      </c>
    </row>
    <row r="49">
      <c r="A49" s="7" t="inlineStr">
        <is>
          <t>TIR contando el terreno</t>
        </is>
      </c>
      <c r="C49" s="23">
        <f>IFERROR(IRR(C42:W42),"no aplica")</f>
        <v/>
      </c>
    </row>
  </sheetData>
  <mergeCells count="1">
    <mergeCell ref="A2:L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C. Locales en la esquina y el jirón + cochera de abonados</t>
        </is>
      </c>
    </row>
    <row r="2" ht="30" customHeight="1">
      <c r="A2" s="17" t="inlineStr">
        <is>
          <t>Franja comercial de 8 m de fondo sobre el jirón y la esquina (ancla de 100 m² + 3 locales de 39-48 m²), estructura para 2 pisos más y 12 plazas de abonados atrás (las otras 6 quedan para los locales), con ingreso y salida por la calle lateral.</t>
        </is>
      </c>
    </row>
    <row r="4">
      <c r="A4" s="18" t="inlineStr">
        <is>
          <t>Fase 1: Local de esquina (100 m²)</t>
        </is>
      </c>
    </row>
    <row r="5">
      <c r="A5" s="20" t="inlineStr">
        <is>
          <t>Partida</t>
        </is>
      </c>
      <c r="B5" s="20" t="inlineStr">
        <is>
          <t>Und.</t>
        </is>
      </c>
      <c r="C5" s="20" t="inlineStr">
        <is>
          <t>Cantidad</t>
        </is>
      </c>
      <c r="D5" s="20" t="inlineStr">
        <is>
          <t>P. unitario</t>
        </is>
      </c>
      <c r="E5" s="20" t="inlineStr">
        <is>
          <t>Parcial</t>
        </is>
      </c>
    </row>
    <row r="6">
      <c r="A6" s="17" t="inlineStr">
        <is>
          <t>Local de esquina de 100 m² en pórticos de C.A. diseñados para 3 pisos, puertas enrollables y SS.HH.</t>
        </is>
      </c>
      <c r="B6" t="inlineStr">
        <is>
          <t>m²</t>
        </is>
      </c>
      <c r="C6" s="5" t="n">
        <v>100</v>
      </c>
      <c r="D6" s="6" t="n">
        <v>1500</v>
      </c>
      <c r="E6" s="14">
        <f>C6*D6</f>
        <v/>
      </c>
    </row>
    <row r="7">
      <c r="A7" s="17" t="inlineStr">
        <is>
          <t>Estudio de suelos, proyecto y licencia</t>
        </is>
      </c>
      <c r="B7" t="inlineStr">
        <is>
          <t>glb</t>
        </is>
      </c>
      <c r="C7" s="5" t="n">
        <v>1</v>
      </c>
      <c r="D7" s="6" t="n">
        <v>20000</v>
      </c>
      <c r="E7" s="14">
        <f>C7*D7</f>
        <v/>
      </c>
    </row>
    <row r="8">
      <c r="D8" t="inlineStr">
        <is>
          <t>Inversión (con imprevistos y factor de escenario)</t>
        </is>
      </c>
      <c r="E8" s="8">
        <f>SUM(E6:E7)*(1+Supuestos!$B$6)*Supuestos!$B$22</f>
        <v/>
      </c>
    </row>
    <row r="9">
      <c r="D9" t="inlineStr">
        <is>
          <t>Año de inversión (opera desde el año siguiente)</t>
        </is>
      </c>
      <c r="E9" s="19" t="n">
        <v>0</v>
      </c>
    </row>
    <row r="10">
      <c r="D10" t="inlineStr">
        <is>
          <t>Ingreso bruto potencial S/ por mes - pesimista</t>
        </is>
      </c>
      <c r="E10" s="6" t="n">
        <v>1000</v>
      </c>
    </row>
    <row r="11">
      <c r="D11" t="inlineStr">
        <is>
          <t>Ingreso bruto potencial S/ por mes - base</t>
        </is>
      </c>
      <c r="E11" s="6" t="n">
        <v>1300</v>
      </c>
    </row>
    <row r="12">
      <c r="D12" t="inlineStr">
        <is>
          <t>Ingreso bruto potencial S/ por mes - optimista</t>
        </is>
      </c>
      <c r="E12" s="6" t="n">
        <v>2000</v>
      </c>
    </row>
    <row r="13">
      <c r="D13" t="inlineStr">
        <is>
          <t>Ocupación cobrada - pesimista</t>
        </is>
      </c>
      <c r="E13" s="3" t="n">
        <v>0.7</v>
      </c>
    </row>
    <row r="14">
      <c r="D14" t="inlineStr">
        <is>
          <t>Ocupación cobrada - base</t>
        </is>
      </c>
      <c r="E14" s="3" t="n">
        <v>0.8</v>
      </c>
    </row>
    <row r="15">
      <c r="D15" t="inlineStr">
        <is>
          <t>Ocupación cobrada - optimista</t>
        </is>
      </c>
      <c r="E15" s="3" t="n">
        <v>0.9</v>
      </c>
    </row>
    <row r="16">
      <c r="D16" t="inlineStr">
        <is>
          <t>Gastos fijos S/ por año (personal, energía, mantenimiento, seguro, predial)</t>
        </is>
      </c>
      <c r="E16" s="6" t="n">
        <v>2500</v>
      </c>
    </row>
    <row r="17">
      <c r="D17" t="inlineStr">
        <is>
          <t>Gastos variables (% del ingreso cobrado)</t>
        </is>
      </c>
      <c r="E17" s="3" t="n">
        <v>0</v>
      </c>
    </row>
    <row r="18">
      <c r="D18" t="inlineStr">
        <is>
          <t>Impuestos (% del ingreso cobrado)</t>
        </is>
      </c>
      <c r="E18" s="3" t="n">
        <v>0.05</v>
      </c>
    </row>
    <row r="19">
      <c r="D19" t="inlineStr">
        <is>
          <t>Ingreso relativo 1.er año de operación</t>
        </is>
      </c>
      <c r="E19" s="3" t="n">
        <v>0.5</v>
      </c>
    </row>
    <row r="20">
      <c r="D20" t="inlineStr">
        <is>
          <t>Ingreso relativo 2.º año de operación</t>
        </is>
      </c>
      <c r="E20" s="3" t="n">
        <v>0.8</v>
      </c>
    </row>
    <row r="21">
      <c r="D21" t="inlineStr">
        <is>
          <t>Vida útil para valor residual (años)</t>
        </is>
      </c>
      <c r="E21" s="19" t="n">
        <v>50</v>
      </c>
    </row>
    <row r="23">
      <c r="A23" s="18" t="inlineStr">
        <is>
          <t>Fase 2: 3 locales al jirón + núcleo de escalera</t>
        </is>
      </c>
    </row>
    <row r="24">
      <c r="A24" s="20" t="inlineStr">
        <is>
          <t>Partida</t>
        </is>
      </c>
      <c r="B24" s="20" t="inlineStr">
        <is>
          <t>Und.</t>
        </is>
      </c>
      <c r="C24" s="20" t="inlineStr">
        <is>
          <t>Cantidad</t>
        </is>
      </c>
      <c r="D24" s="20" t="inlineStr">
        <is>
          <t>P. unitario</t>
        </is>
      </c>
      <c r="E24" s="20" t="inlineStr">
        <is>
          <t>Parcial</t>
        </is>
      </c>
    </row>
    <row r="25">
      <c r="A25" s="17" t="inlineStr">
        <is>
          <t>3 locales de 39-48 m² (134.7 m²) y núcleo de escalera, SS.HH. y depósito de 26 m² junto a B, en pórticos de C.A. diseñados para 3 pisos</t>
        </is>
      </c>
      <c r="B25" t="inlineStr">
        <is>
          <t>m²</t>
        </is>
      </c>
      <c r="C25" s="5" t="n">
        <v>160.6</v>
      </c>
      <c r="D25" s="6" t="n">
        <v>1500</v>
      </c>
      <c r="E25" s="14">
        <f>C25*D25</f>
        <v/>
      </c>
    </row>
    <row r="26">
      <c r="A26" s="17" t="inlineStr">
        <is>
          <t>Ampliación del proyecto y licencia</t>
        </is>
      </c>
      <c r="B26" t="inlineStr">
        <is>
          <t>glb</t>
        </is>
      </c>
      <c r="C26" s="5" t="n">
        <v>1</v>
      </c>
      <c r="D26" s="6" t="n">
        <v>12000</v>
      </c>
      <c r="E26" s="14">
        <f>C26*D26</f>
        <v/>
      </c>
    </row>
    <row r="27">
      <c r="D27" t="inlineStr">
        <is>
          <t>Inversión (con imprevistos y factor de escenario)</t>
        </is>
      </c>
      <c r="E27" s="8">
        <f>SUM(E25:E26)*(1+Supuestos!$B$6)*Supuestos!$B$22</f>
        <v/>
      </c>
    </row>
    <row r="28">
      <c r="D28" t="inlineStr">
        <is>
          <t>Año de inversión (opera desde el año siguiente)</t>
        </is>
      </c>
      <c r="E28" s="19" t="n">
        <v>0</v>
      </c>
    </row>
    <row r="29">
      <c r="D29" t="inlineStr">
        <is>
          <t>Ingreso bruto potencial S/ por mes - pesimista</t>
        </is>
      </c>
      <c r="E29" s="6" t="n">
        <v>1616.4</v>
      </c>
    </row>
    <row r="30">
      <c r="D30" t="inlineStr">
        <is>
          <t>Ingreso bruto potencial S/ por mes - base</t>
        </is>
      </c>
      <c r="E30" s="6" t="n">
        <v>2020.5</v>
      </c>
    </row>
    <row r="31">
      <c r="D31" t="inlineStr">
        <is>
          <t>Ingreso bruto potencial S/ por mes - optimista</t>
        </is>
      </c>
      <c r="E31" s="6" t="n">
        <v>2424.6</v>
      </c>
    </row>
    <row r="32">
      <c r="D32" t="inlineStr">
        <is>
          <t>Ocupación cobrada - pesimista</t>
        </is>
      </c>
      <c r="E32" s="3" t="n">
        <v>0.7</v>
      </c>
    </row>
    <row r="33">
      <c r="D33" t="inlineStr">
        <is>
          <t>Ocupación cobrada - base</t>
        </is>
      </c>
      <c r="E33" s="3" t="n">
        <v>0.8</v>
      </c>
    </row>
    <row r="34">
      <c r="D34" t="inlineStr">
        <is>
          <t>Ocupación cobrada - optimista</t>
        </is>
      </c>
      <c r="E34" s="3" t="n">
        <v>0.9</v>
      </c>
    </row>
    <row r="35">
      <c r="D35" t="inlineStr">
        <is>
          <t>Gastos fijos S/ por año (personal, energía, mantenimiento, seguro, predial)</t>
        </is>
      </c>
      <c r="E35" s="6" t="n">
        <v>3600</v>
      </c>
    </row>
    <row r="36">
      <c r="D36" t="inlineStr">
        <is>
          <t>Gastos variables (% del ingreso cobrado)</t>
        </is>
      </c>
      <c r="E36" s="3" t="n">
        <v>0</v>
      </c>
    </row>
    <row r="37">
      <c r="D37" t="inlineStr">
        <is>
          <t>Impuestos (% del ingreso cobrado)</t>
        </is>
      </c>
      <c r="E37" s="3" t="n">
        <v>0.05</v>
      </c>
    </row>
    <row r="38">
      <c r="D38" t="inlineStr">
        <is>
          <t>Ingreso relativo 1.er año de operación</t>
        </is>
      </c>
      <c r="E38" s="3" t="n">
        <v>0.5</v>
      </c>
    </row>
    <row r="39">
      <c r="D39" t="inlineStr">
        <is>
          <t>Ingreso relativo 2.º año de operación</t>
        </is>
      </c>
      <c r="E39" s="3" t="n">
        <v>0.8</v>
      </c>
    </row>
    <row r="40">
      <c r="D40" t="inlineStr">
        <is>
          <t>Vida útil para valor residual (años)</t>
        </is>
      </c>
      <c r="E40" s="19" t="n">
        <v>50</v>
      </c>
    </row>
    <row r="42">
      <c r="A42" s="18" t="inlineStr">
        <is>
          <t>Fase 3: Cochera de abonados (fondo, descubierta)</t>
        </is>
      </c>
    </row>
    <row r="43">
      <c r="A43" s="20" t="inlineStr">
        <is>
          <t>Partida</t>
        </is>
      </c>
      <c r="B43" s="20" t="inlineStr">
        <is>
          <t>Und.</t>
        </is>
      </c>
      <c r="C43" s="20" t="inlineStr">
        <is>
          <t>Cantidad</t>
        </is>
      </c>
      <c r="D43" s="20" t="inlineStr">
        <is>
          <t>P. unitario</t>
        </is>
      </c>
      <c r="E43" s="20" t="inlineStr">
        <is>
          <t>Parcial</t>
        </is>
      </c>
    </row>
    <row r="44">
      <c r="A44" s="17" t="inlineStr">
        <is>
          <t>Afirmado compactado e=0.20 m con bombeo</t>
        </is>
      </c>
      <c r="B44" t="inlineStr">
        <is>
          <t>m²</t>
        </is>
      </c>
      <c r="C44" s="5" t="n">
        <v>540</v>
      </c>
      <c r="D44" s="6" t="n">
        <v>40</v>
      </c>
      <c r="E44" s="14">
        <f>C44*D44</f>
        <v/>
      </c>
    </row>
    <row r="45">
      <c r="A45" s="17" t="inlineStr">
        <is>
          <t>Drenaje del patio</t>
        </is>
      </c>
      <c r="B45" t="inlineStr">
        <is>
          <t>ml</t>
        </is>
      </c>
      <c r="C45" s="5" t="n">
        <v>20</v>
      </c>
      <c r="D45" s="6" t="n">
        <v>220</v>
      </c>
      <c r="E45" s="14">
        <f>C45*D45</f>
        <v/>
      </c>
    </row>
    <row r="46">
      <c r="A46" s="17" t="inlineStr">
        <is>
          <t>Portón telescópico automatizado de 6.5 m con 40 controles + puerta peatonal</t>
        </is>
      </c>
      <c r="B46" t="inlineStr">
        <is>
          <t>glb</t>
        </is>
      </c>
      <c r="C46" s="5" t="n">
        <v>1</v>
      </c>
      <c r="D46" s="6" t="n">
        <v>15500</v>
      </c>
      <c r="E46" s="14">
        <f>C46*D46</f>
        <v/>
      </c>
    </row>
    <row r="47">
      <c r="A47" s="17" t="inlineStr">
        <is>
          <t>Cerco de albañilería en el fondo C-D</t>
        </is>
      </c>
      <c r="B47" t="inlineStr">
        <is>
          <t>ml</t>
        </is>
      </c>
      <c r="C47" s="5" t="n">
        <v>30</v>
      </c>
      <c r="D47" s="6" t="n">
        <v>330</v>
      </c>
      <c r="E47" s="14">
        <f>C47*D47</f>
        <v/>
      </c>
    </row>
    <row r="48">
      <c r="A48" s="17" t="inlineStr">
        <is>
          <t>Iluminación LED y CCTV de 4 cámaras</t>
        </is>
      </c>
      <c r="B48" t="inlineStr">
        <is>
          <t>glb</t>
        </is>
      </c>
      <c r="C48" s="5" t="n">
        <v>1</v>
      </c>
      <c r="D48" s="6" t="n">
        <v>7500</v>
      </c>
      <c r="E48" s="14">
        <f>C48*D48</f>
        <v/>
      </c>
    </row>
    <row r="49">
      <c r="A49" s="17" t="inlineStr">
        <is>
          <t>Señalización, numeración y topellantas</t>
        </is>
      </c>
      <c r="B49" t="inlineStr">
        <is>
          <t>glb</t>
        </is>
      </c>
      <c r="C49" s="5" t="n">
        <v>1</v>
      </c>
      <c r="D49" s="6" t="n">
        <v>2400</v>
      </c>
      <c r="E49" s="14">
        <f>C49*D49</f>
        <v/>
      </c>
    </row>
    <row r="50">
      <c r="D50" t="inlineStr">
        <is>
          <t>Inversión (con imprevistos y factor de escenario)</t>
        </is>
      </c>
      <c r="E50" s="8">
        <f>SUM(E44:E49)*(1+Supuestos!$B$6)*Supuestos!$B$22</f>
        <v/>
      </c>
    </row>
    <row r="51">
      <c r="D51" t="inlineStr">
        <is>
          <t>Año de inversión (opera desde el año siguiente)</t>
        </is>
      </c>
      <c r="E51" s="19" t="n">
        <v>0</v>
      </c>
    </row>
    <row r="52">
      <c r="D52" t="inlineStr">
        <is>
          <t>Ingreso bruto potencial S/ por mes - pesimista</t>
        </is>
      </c>
      <c r="E52" s="6" t="n">
        <v>480</v>
      </c>
    </row>
    <row r="53">
      <c r="D53" t="inlineStr">
        <is>
          <t>Ingreso bruto potencial S/ por mes - base</t>
        </is>
      </c>
      <c r="E53" s="6" t="n">
        <v>900</v>
      </c>
    </row>
    <row r="54">
      <c r="D54" t="inlineStr">
        <is>
          <t>Ingreso bruto potencial S/ por mes - optimista</t>
        </is>
      </c>
      <c r="E54" s="6" t="n">
        <v>1080</v>
      </c>
    </row>
    <row r="55">
      <c r="D55" t="inlineStr">
        <is>
          <t>Ocupación cobrada - pesimista</t>
        </is>
      </c>
      <c r="E55" s="3" t="n">
        <v>0.6</v>
      </c>
    </row>
    <row r="56">
      <c r="D56" t="inlineStr">
        <is>
          <t>Ocupación cobrada - base</t>
        </is>
      </c>
      <c r="E56" s="3" t="n">
        <v>0.7</v>
      </c>
    </row>
    <row r="57">
      <c r="D57" t="inlineStr">
        <is>
          <t>Ocupación cobrada - optimista</t>
        </is>
      </c>
      <c r="E57" s="3" t="n">
        <v>0.8</v>
      </c>
    </row>
    <row r="58">
      <c r="D58" t="inlineStr">
        <is>
          <t>Gastos fijos S/ por año (personal, energía, mantenimiento, seguro, predial)</t>
        </is>
      </c>
      <c r="E58" s="6" t="n">
        <v>3200</v>
      </c>
    </row>
    <row r="59">
      <c r="D59" t="inlineStr">
        <is>
          <t>Gastos variables (% del ingreso cobrado)</t>
        </is>
      </c>
      <c r="E59" s="3" t="n">
        <v>0</v>
      </c>
    </row>
    <row r="60">
      <c r="D60" t="inlineStr">
        <is>
          <t>Impuestos (% del ingreso cobrado)</t>
        </is>
      </c>
      <c r="E60" s="3" t="n">
        <v>0</v>
      </c>
    </row>
    <row r="61">
      <c r="D61" t="inlineStr">
        <is>
          <t>Ingreso relativo 1.er año de operación</t>
        </is>
      </c>
      <c r="E61" s="3" t="n">
        <v>0.6</v>
      </c>
    </row>
    <row r="62">
      <c r="D62" t="inlineStr">
        <is>
          <t>Ingreso relativo 2.º año de operación</t>
        </is>
      </c>
      <c r="E62" s="3" t="n">
        <v>0.85</v>
      </c>
    </row>
    <row r="63">
      <c r="D63" t="inlineStr">
        <is>
          <t>Vida útil para valor residual (años)</t>
        </is>
      </c>
      <c r="E63" s="19" t="n">
        <v>10</v>
      </c>
    </row>
    <row r="64">
      <c r="D64" t="inlineStr">
        <is>
          <t>Reposición 1: años después de invertir</t>
        </is>
      </c>
      <c r="E64" s="19" t="n">
        <v>10</v>
      </c>
    </row>
    <row r="65">
      <c r="D65" t="inlineStr">
        <is>
          <t>Reposición 1: monto a precios de hoy</t>
        </is>
      </c>
      <c r="E65" s="6" t="n">
        <v>33330</v>
      </c>
    </row>
    <row r="67">
      <c r="A67" s="7" t="inlineStr">
        <is>
          <t>FLUJO DE CAJA (S/ nominales)</t>
        </is>
      </c>
    </row>
    <row r="68">
      <c r="A68" s="20" t="inlineStr">
        <is>
          <t>Concepto / año</t>
        </is>
      </c>
      <c r="C68" s="20" t="n">
        <v>0</v>
      </c>
      <c r="D68" s="20" t="n">
        <v>1</v>
      </c>
      <c r="E68" s="20" t="n">
        <v>2</v>
      </c>
      <c r="F68" s="20" t="n">
        <v>3</v>
      </c>
      <c r="G68" s="20" t="n">
        <v>4</v>
      </c>
      <c r="H68" s="20" t="n">
        <v>5</v>
      </c>
      <c r="I68" s="20" t="n">
        <v>6</v>
      </c>
      <c r="J68" s="20" t="n">
        <v>7</v>
      </c>
      <c r="K68" s="20" t="n">
        <v>8</v>
      </c>
      <c r="L68" s="20" t="n">
        <v>9</v>
      </c>
      <c r="M68" s="20" t="n">
        <v>10</v>
      </c>
      <c r="N68" s="20" t="n">
        <v>11</v>
      </c>
      <c r="O68" s="20" t="n">
        <v>12</v>
      </c>
      <c r="P68" s="20" t="n">
        <v>13</v>
      </c>
      <c r="Q68" s="20" t="n">
        <v>14</v>
      </c>
      <c r="R68" s="20" t="n">
        <v>15</v>
      </c>
      <c r="S68" s="20" t="n">
        <v>16</v>
      </c>
      <c r="T68" s="20" t="n">
        <v>17</v>
      </c>
      <c r="U68" s="20" t="n">
        <v>18</v>
      </c>
      <c r="V68" s="20" t="n">
        <v>19</v>
      </c>
      <c r="W68" s="20" t="n">
        <v>20</v>
      </c>
    </row>
    <row r="69">
      <c r="A69" s="21" t="inlineStr">
        <is>
          <t xml:space="preserve">  Inversión - fase 1</t>
        </is>
      </c>
      <c r="C69" s="14">
        <f>IF(C$68=$E$9,-$E$8*(1+Supuestos!$B$5)^MAX($E$9-1,0),0)</f>
        <v/>
      </c>
      <c r="D69" s="14">
        <f>IF(D$68=$E$9,-$E$8*(1+Supuestos!$B$5)^MAX($E$9-1,0),0)</f>
        <v/>
      </c>
      <c r="E69" s="14">
        <f>IF(E$68=$E$9,-$E$8*(1+Supuestos!$B$5)^MAX($E$9-1,0),0)</f>
        <v/>
      </c>
      <c r="F69" s="14">
        <f>IF(F$68=$E$9,-$E$8*(1+Supuestos!$B$5)^MAX($E$9-1,0),0)</f>
        <v/>
      </c>
      <c r="G69" s="14">
        <f>IF(G$68=$E$9,-$E$8*(1+Supuestos!$B$5)^MAX($E$9-1,0),0)</f>
        <v/>
      </c>
      <c r="H69" s="14">
        <f>IF(H$68=$E$9,-$E$8*(1+Supuestos!$B$5)^MAX($E$9-1,0),0)</f>
        <v/>
      </c>
      <c r="I69" s="14">
        <f>IF(I$68=$E$9,-$E$8*(1+Supuestos!$B$5)^MAX($E$9-1,0),0)</f>
        <v/>
      </c>
      <c r="J69" s="14">
        <f>IF(J$68=$E$9,-$E$8*(1+Supuestos!$B$5)^MAX($E$9-1,0),0)</f>
        <v/>
      </c>
      <c r="K69" s="14">
        <f>IF(K$68=$E$9,-$E$8*(1+Supuestos!$B$5)^MAX($E$9-1,0),0)</f>
        <v/>
      </c>
      <c r="L69" s="14">
        <f>IF(L$68=$E$9,-$E$8*(1+Supuestos!$B$5)^MAX($E$9-1,0),0)</f>
        <v/>
      </c>
      <c r="M69" s="14">
        <f>IF(M$68=$E$9,-$E$8*(1+Supuestos!$B$5)^MAX($E$9-1,0),0)</f>
        <v/>
      </c>
      <c r="N69" s="14">
        <f>IF(N$68=$E$9,-$E$8*(1+Supuestos!$B$5)^MAX($E$9-1,0),0)</f>
        <v/>
      </c>
      <c r="O69" s="14">
        <f>IF(O$68=$E$9,-$E$8*(1+Supuestos!$B$5)^MAX($E$9-1,0),0)</f>
        <v/>
      </c>
      <c r="P69" s="14">
        <f>IF(P$68=$E$9,-$E$8*(1+Supuestos!$B$5)^MAX($E$9-1,0),0)</f>
        <v/>
      </c>
      <c r="Q69" s="14">
        <f>IF(Q$68=$E$9,-$E$8*(1+Supuestos!$B$5)^MAX($E$9-1,0),0)</f>
        <v/>
      </c>
      <c r="R69" s="14">
        <f>IF(R$68=$E$9,-$E$8*(1+Supuestos!$B$5)^MAX($E$9-1,0),0)</f>
        <v/>
      </c>
      <c r="S69" s="14">
        <f>IF(S$68=$E$9,-$E$8*(1+Supuestos!$B$5)^MAX($E$9-1,0),0)</f>
        <v/>
      </c>
      <c r="T69" s="14">
        <f>IF(T$68=$E$9,-$E$8*(1+Supuestos!$B$5)^MAX($E$9-1,0),0)</f>
        <v/>
      </c>
      <c r="U69" s="14">
        <f>IF(U$68=$E$9,-$E$8*(1+Supuestos!$B$5)^MAX($E$9-1,0),0)</f>
        <v/>
      </c>
      <c r="V69" s="14">
        <f>IF(V$68=$E$9,-$E$8*(1+Supuestos!$B$5)^MAX($E$9-1,0),0)</f>
        <v/>
      </c>
      <c r="W69" s="14">
        <f>IF(W$68=$E$9,-$E$8*(1+Supuestos!$B$5)^MAX($E$9-1,0),0)</f>
        <v/>
      </c>
    </row>
    <row r="70">
      <c r="A70" s="21" t="inlineStr">
        <is>
          <t xml:space="preserve">  Ingresos cobrados - fase 1</t>
        </is>
      </c>
      <c r="C70" s="14">
        <f>IF((C$68-$E$9)&gt;=1,CHOOSE(Supuestos!$B$3,$E$10,$E$11,$E$12)*12*CHOOSE(Supuestos!$B$3,$E$13,$E$14,$E$15)*IF((C$68-$E$9)=1,$E$19,IF((C$68-$E$9)=2,$E$20,1))*(1+Supuestos!$B$5)^MAX(C$68-1,0),0)</f>
        <v/>
      </c>
      <c r="D70" s="14">
        <f>IF((D$68-$E$9)&gt;=1,CHOOSE(Supuestos!$B$3,$E$10,$E$11,$E$12)*12*CHOOSE(Supuestos!$B$3,$E$13,$E$14,$E$15)*IF((D$68-$E$9)=1,$E$19,IF((D$68-$E$9)=2,$E$20,1))*(1+Supuestos!$B$5)^MAX(D$68-1,0),0)</f>
        <v/>
      </c>
      <c r="E70" s="14">
        <f>IF((E$68-$E$9)&gt;=1,CHOOSE(Supuestos!$B$3,$E$10,$E$11,$E$12)*12*CHOOSE(Supuestos!$B$3,$E$13,$E$14,$E$15)*IF((E$68-$E$9)=1,$E$19,IF((E$68-$E$9)=2,$E$20,1))*(1+Supuestos!$B$5)^MAX(E$68-1,0),0)</f>
        <v/>
      </c>
      <c r="F70" s="14">
        <f>IF((F$68-$E$9)&gt;=1,CHOOSE(Supuestos!$B$3,$E$10,$E$11,$E$12)*12*CHOOSE(Supuestos!$B$3,$E$13,$E$14,$E$15)*IF((F$68-$E$9)=1,$E$19,IF((F$68-$E$9)=2,$E$20,1))*(1+Supuestos!$B$5)^MAX(F$68-1,0),0)</f>
        <v/>
      </c>
      <c r="G70" s="14">
        <f>IF((G$68-$E$9)&gt;=1,CHOOSE(Supuestos!$B$3,$E$10,$E$11,$E$12)*12*CHOOSE(Supuestos!$B$3,$E$13,$E$14,$E$15)*IF((G$68-$E$9)=1,$E$19,IF((G$68-$E$9)=2,$E$20,1))*(1+Supuestos!$B$5)^MAX(G$68-1,0),0)</f>
        <v/>
      </c>
      <c r="H70" s="14">
        <f>IF((H$68-$E$9)&gt;=1,CHOOSE(Supuestos!$B$3,$E$10,$E$11,$E$12)*12*CHOOSE(Supuestos!$B$3,$E$13,$E$14,$E$15)*IF((H$68-$E$9)=1,$E$19,IF((H$68-$E$9)=2,$E$20,1))*(1+Supuestos!$B$5)^MAX(H$68-1,0),0)</f>
        <v/>
      </c>
      <c r="I70" s="14">
        <f>IF((I$68-$E$9)&gt;=1,CHOOSE(Supuestos!$B$3,$E$10,$E$11,$E$12)*12*CHOOSE(Supuestos!$B$3,$E$13,$E$14,$E$15)*IF((I$68-$E$9)=1,$E$19,IF((I$68-$E$9)=2,$E$20,1))*(1+Supuestos!$B$5)^MAX(I$68-1,0),0)</f>
        <v/>
      </c>
      <c r="J70" s="14">
        <f>IF((J$68-$E$9)&gt;=1,CHOOSE(Supuestos!$B$3,$E$10,$E$11,$E$12)*12*CHOOSE(Supuestos!$B$3,$E$13,$E$14,$E$15)*IF((J$68-$E$9)=1,$E$19,IF((J$68-$E$9)=2,$E$20,1))*(1+Supuestos!$B$5)^MAX(J$68-1,0),0)</f>
        <v/>
      </c>
      <c r="K70" s="14">
        <f>IF((K$68-$E$9)&gt;=1,CHOOSE(Supuestos!$B$3,$E$10,$E$11,$E$12)*12*CHOOSE(Supuestos!$B$3,$E$13,$E$14,$E$15)*IF((K$68-$E$9)=1,$E$19,IF((K$68-$E$9)=2,$E$20,1))*(1+Supuestos!$B$5)^MAX(K$68-1,0),0)</f>
        <v/>
      </c>
      <c r="L70" s="14">
        <f>IF((L$68-$E$9)&gt;=1,CHOOSE(Supuestos!$B$3,$E$10,$E$11,$E$12)*12*CHOOSE(Supuestos!$B$3,$E$13,$E$14,$E$15)*IF((L$68-$E$9)=1,$E$19,IF((L$68-$E$9)=2,$E$20,1))*(1+Supuestos!$B$5)^MAX(L$68-1,0),0)</f>
        <v/>
      </c>
      <c r="M70" s="14">
        <f>IF((M$68-$E$9)&gt;=1,CHOOSE(Supuestos!$B$3,$E$10,$E$11,$E$12)*12*CHOOSE(Supuestos!$B$3,$E$13,$E$14,$E$15)*IF((M$68-$E$9)=1,$E$19,IF((M$68-$E$9)=2,$E$20,1))*(1+Supuestos!$B$5)^MAX(M$68-1,0),0)</f>
        <v/>
      </c>
      <c r="N70" s="14">
        <f>IF((N$68-$E$9)&gt;=1,CHOOSE(Supuestos!$B$3,$E$10,$E$11,$E$12)*12*CHOOSE(Supuestos!$B$3,$E$13,$E$14,$E$15)*IF((N$68-$E$9)=1,$E$19,IF((N$68-$E$9)=2,$E$20,1))*(1+Supuestos!$B$5)^MAX(N$68-1,0),0)</f>
        <v/>
      </c>
      <c r="O70" s="14">
        <f>IF((O$68-$E$9)&gt;=1,CHOOSE(Supuestos!$B$3,$E$10,$E$11,$E$12)*12*CHOOSE(Supuestos!$B$3,$E$13,$E$14,$E$15)*IF((O$68-$E$9)=1,$E$19,IF((O$68-$E$9)=2,$E$20,1))*(1+Supuestos!$B$5)^MAX(O$68-1,0),0)</f>
        <v/>
      </c>
      <c r="P70" s="14">
        <f>IF((P$68-$E$9)&gt;=1,CHOOSE(Supuestos!$B$3,$E$10,$E$11,$E$12)*12*CHOOSE(Supuestos!$B$3,$E$13,$E$14,$E$15)*IF((P$68-$E$9)=1,$E$19,IF((P$68-$E$9)=2,$E$20,1))*(1+Supuestos!$B$5)^MAX(P$68-1,0),0)</f>
        <v/>
      </c>
      <c r="Q70" s="14">
        <f>IF((Q$68-$E$9)&gt;=1,CHOOSE(Supuestos!$B$3,$E$10,$E$11,$E$12)*12*CHOOSE(Supuestos!$B$3,$E$13,$E$14,$E$15)*IF((Q$68-$E$9)=1,$E$19,IF((Q$68-$E$9)=2,$E$20,1))*(1+Supuestos!$B$5)^MAX(Q$68-1,0),0)</f>
        <v/>
      </c>
      <c r="R70" s="14">
        <f>IF((R$68-$E$9)&gt;=1,CHOOSE(Supuestos!$B$3,$E$10,$E$11,$E$12)*12*CHOOSE(Supuestos!$B$3,$E$13,$E$14,$E$15)*IF((R$68-$E$9)=1,$E$19,IF((R$68-$E$9)=2,$E$20,1))*(1+Supuestos!$B$5)^MAX(R$68-1,0),0)</f>
        <v/>
      </c>
      <c r="S70" s="14">
        <f>IF((S$68-$E$9)&gt;=1,CHOOSE(Supuestos!$B$3,$E$10,$E$11,$E$12)*12*CHOOSE(Supuestos!$B$3,$E$13,$E$14,$E$15)*IF((S$68-$E$9)=1,$E$19,IF((S$68-$E$9)=2,$E$20,1))*(1+Supuestos!$B$5)^MAX(S$68-1,0),0)</f>
        <v/>
      </c>
      <c r="T70" s="14">
        <f>IF((T$68-$E$9)&gt;=1,CHOOSE(Supuestos!$B$3,$E$10,$E$11,$E$12)*12*CHOOSE(Supuestos!$B$3,$E$13,$E$14,$E$15)*IF((T$68-$E$9)=1,$E$19,IF((T$68-$E$9)=2,$E$20,1))*(1+Supuestos!$B$5)^MAX(T$68-1,0),0)</f>
        <v/>
      </c>
      <c r="U70" s="14">
        <f>IF((U$68-$E$9)&gt;=1,CHOOSE(Supuestos!$B$3,$E$10,$E$11,$E$12)*12*CHOOSE(Supuestos!$B$3,$E$13,$E$14,$E$15)*IF((U$68-$E$9)=1,$E$19,IF((U$68-$E$9)=2,$E$20,1))*(1+Supuestos!$B$5)^MAX(U$68-1,0),0)</f>
        <v/>
      </c>
      <c r="V70" s="14">
        <f>IF((V$68-$E$9)&gt;=1,CHOOSE(Supuestos!$B$3,$E$10,$E$11,$E$12)*12*CHOOSE(Supuestos!$B$3,$E$13,$E$14,$E$15)*IF((V$68-$E$9)=1,$E$19,IF((V$68-$E$9)=2,$E$20,1))*(1+Supuestos!$B$5)^MAX(V$68-1,0),0)</f>
        <v/>
      </c>
      <c r="W70" s="14">
        <f>IF((W$68-$E$9)&gt;=1,CHOOSE(Supuestos!$B$3,$E$10,$E$11,$E$12)*12*CHOOSE(Supuestos!$B$3,$E$13,$E$14,$E$15)*IF((W$68-$E$9)=1,$E$19,IF((W$68-$E$9)=2,$E$20,1))*(1+Supuestos!$B$5)^MAX(W$68-1,0),0)</f>
        <v/>
      </c>
    </row>
    <row r="71">
      <c r="A71" s="21" t="inlineStr">
        <is>
          <t xml:space="preserve">  Gastos - fase 1</t>
        </is>
      </c>
      <c r="C71" s="14">
        <f>IF((C$68-$E$9)&gt;=1,-$E$16*(1+Supuestos!$B$5)^MAX(C$68-1,0)-$E$17*C70,0)</f>
        <v/>
      </c>
      <c r="D71" s="14">
        <f>IF((D$68-$E$9)&gt;=1,-$E$16*(1+Supuestos!$B$5)^MAX(D$68-1,0)-$E$17*D70,0)</f>
        <v/>
      </c>
      <c r="E71" s="14">
        <f>IF((E$68-$E$9)&gt;=1,-$E$16*(1+Supuestos!$B$5)^MAX(E$68-1,0)-$E$17*E70,0)</f>
        <v/>
      </c>
      <c r="F71" s="14">
        <f>IF((F$68-$E$9)&gt;=1,-$E$16*(1+Supuestos!$B$5)^MAX(F$68-1,0)-$E$17*F70,0)</f>
        <v/>
      </c>
      <c r="G71" s="14">
        <f>IF((G$68-$E$9)&gt;=1,-$E$16*(1+Supuestos!$B$5)^MAX(G$68-1,0)-$E$17*G70,0)</f>
        <v/>
      </c>
      <c r="H71" s="14">
        <f>IF((H$68-$E$9)&gt;=1,-$E$16*(1+Supuestos!$B$5)^MAX(H$68-1,0)-$E$17*H70,0)</f>
        <v/>
      </c>
      <c r="I71" s="14">
        <f>IF((I$68-$E$9)&gt;=1,-$E$16*(1+Supuestos!$B$5)^MAX(I$68-1,0)-$E$17*I70,0)</f>
        <v/>
      </c>
      <c r="J71" s="14">
        <f>IF((J$68-$E$9)&gt;=1,-$E$16*(1+Supuestos!$B$5)^MAX(J$68-1,0)-$E$17*J70,0)</f>
        <v/>
      </c>
      <c r="K71" s="14">
        <f>IF((K$68-$E$9)&gt;=1,-$E$16*(1+Supuestos!$B$5)^MAX(K$68-1,0)-$E$17*K70,0)</f>
        <v/>
      </c>
      <c r="L71" s="14">
        <f>IF((L$68-$E$9)&gt;=1,-$E$16*(1+Supuestos!$B$5)^MAX(L$68-1,0)-$E$17*L70,0)</f>
        <v/>
      </c>
      <c r="M71" s="14">
        <f>IF((M$68-$E$9)&gt;=1,-$E$16*(1+Supuestos!$B$5)^MAX(M$68-1,0)-$E$17*M70,0)</f>
        <v/>
      </c>
      <c r="N71" s="14">
        <f>IF((N$68-$E$9)&gt;=1,-$E$16*(1+Supuestos!$B$5)^MAX(N$68-1,0)-$E$17*N70,0)</f>
        <v/>
      </c>
      <c r="O71" s="14">
        <f>IF((O$68-$E$9)&gt;=1,-$E$16*(1+Supuestos!$B$5)^MAX(O$68-1,0)-$E$17*O70,0)</f>
        <v/>
      </c>
      <c r="P71" s="14">
        <f>IF((P$68-$E$9)&gt;=1,-$E$16*(1+Supuestos!$B$5)^MAX(P$68-1,0)-$E$17*P70,0)</f>
        <v/>
      </c>
      <c r="Q71" s="14">
        <f>IF((Q$68-$E$9)&gt;=1,-$E$16*(1+Supuestos!$B$5)^MAX(Q$68-1,0)-$E$17*Q70,0)</f>
        <v/>
      </c>
      <c r="R71" s="14">
        <f>IF((R$68-$E$9)&gt;=1,-$E$16*(1+Supuestos!$B$5)^MAX(R$68-1,0)-$E$17*R70,0)</f>
        <v/>
      </c>
      <c r="S71" s="14">
        <f>IF((S$68-$E$9)&gt;=1,-$E$16*(1+Supuestos!$B$5)^MAX(S$68-1,0)-$E$17*S70,0)</f>
        <v/>
      </c>
      <c r="T71" s="14">
        <f>IF((T$68-$E$9)&gt;=1,-$E$16*(1+Supuestos!$B$5)^MAX(T$68-1,0)-$E$17*T70,0)</f>
        <v/>
      </c>
      <c r="U71" s="14">
        <f>IF((U$68-$E$9)&gt;=1,-$E$16*(1+Supuestos!$B$5)^MAX(U$68-1,0)-$E$17*U70,0)</f>
        <v/>
      </c>
      <c r="V71" s="14">
        <f>IF((V$68-$E$9)&gt;=1,-$E$16*(1+Supuestos!$B$5)^MAX(V$68-1,0)-$E$17*V70,0)</f>
        <v/>
      </c>
      <c r="W71" s="14">
        <f>IF((W$68-$E$9)&gt;=1,-$E$16*(1+Supuestos!$B$5)^MAX(W$68-1,0)-$E$17*W70,0)</f>
        <v/>
      </c>
    </row>
    <row r="72">
      <c r="A72" s="21" t="inlineStr">
        <is>
          <t xml:space="preserve">  Impuestos - fase 1</t>
        </is>
      </c>
      <c r="C72" s="14">
        <f>-$E$18*C70</f>
        <v/>
      </c>
      <c r="D72" s="14">
        <f>-$E$18*D70</f>
        <v/>
      </c>
      <c r="E72" s="14">
        <f>-$E$18*E70</f>
        <v/>
      </c>
      <c r="F72" s="14">
        <f>-$E$18*F70</f>
        <v/>
      </c>
      <c r="G72" s="14">
        <f>-$E$18*G70</f>
        <v/>
      </c>
      <c r="H72" s="14">
        <f>-$E$18*H70</f>
        <v/>
      </c>
      <c r="I72" s="14">
        <f>-$E$18*I70</f>
        <v/>
      </c>
      <c r="J72" s="14">
        <f>-$E$18*J70</f>
        <v/>
      </c>
      <c r="K72" s="14">
        <f>-$E$18*K70</f>
        <v/>
      </c>
      <c r="L72" s="14">
        <f>-$E$18*L70</f>
        <v/>
      </c>
      <c r="M72" s="14">
        <f>-$E$18*M70</f>
        <v/>
      </c>
      <c r="N72" s="14">
        <f>-$E$18*N70</f>
        <v/>
      </c>
      <c r="O72" s="14">
        <f>-$E$18*O70</f>
        <v/>
      </c>
      <c r="P72" s="14">
        <f>-$E$18*P70</f>
        <v/>
      </c>
      <c r="Q72" s="14">
        <f>-$E$18*Q70</f>
        <v/>
      </c>
      <c r="R72" s="14">
        <f>-$E$18*R70</f>
        <v/>
      </c>
      <c r="S72" s="14">
        <f>-$E$18*S70</f>
        <v/>
      </c>
      <c r="T72" s="14">
        <f>-$E$18*T70</f>
        <v/>
      </c>
      <c r="U72" s="14">
        <f>-$E$18*U70</f>
        <v/>
      </c>
      <c r="V72" s="14">
        <f>-$E$18*V70</f>
        <v/>
      </c>
      <c r="W72" s="14">
        <f>-$E$18*W70</f>
        <v/>
      </c>
    </row>
    <row r="73">
      <c r="A73" s="21" t="inlineStr">
        <is>
          <t xml:space="preserve">  Reposiciones - fase 1</t>
        </is>
      </c>
      <c r="C73" s="14">
        <f>0</f>
        <v/>
      </c>
      <c r="D73" s="14">
        <f>0</f>
        <v/>
      </c>
      <c r="E73" s="14">
        <f>0</f>
        <v/>
      </c>
      <c r="F73" s="14">
        <f>0</f>
        <v/>
      </c>
      <c r="G73" s="14">
        <f>0</f>
        <v/>
      </c>
      <c r="H73" s="14">
        <f>0</f>
        <v/>
      </c>
      <c r="I73" s="14">
        <f>0</f>
        <v/>
      </c>
      <c r="J73" s="14">
        <f>0</f>
        <v/>
      </c>
      <c r="K73" s="14">
        <f>0</f>
        <v/>
      </c>
      <c r="L73" s="14">
        <f>0</f>
        <v/>
      </c>
      <c r="M73" s="14">
        <f>0</f>
        <v/>
      </c>
      <c r="N73" s="14">
        <f>0</f>
        <v/>
      </c>
      <c r="O73" s="14">
        <f>0</f>
        <v/>
      </c>
      <c r="P73" s="14">
        <f>0</f>
        <v/>
      </c>
      <c r="Q73" s="14">
        <f>0</f>
        <v/>
      </c>
      <c r="R73" s="14">
        <f>0</f>
        <v/>
      </c>
      <c r="S73" s="14">
        <f>0</f>
        <v/>
      </c>
      <c r="T73" s="14">
        <f>0</f>
        <v/>
      </c>
      <c r="U73" s="14">
        <f>0</f>
        <v/>
      </c>
      <c r="V73" s="14">
        <f>0</f>
        <v/>
      </c>
      <c r="W73" s="14">
        <f>0</f>
        <v/>
      </c>
    </row>
    <row r="74">
      <c r="A74" s="21" t="inlineStr">
        <is>
          <t xml:space="preserve">  Valor residual (año 20) - fase 1</t>
        </is>
      </c>
      <c r="C74" s="14">
        <f>IF(AND(C$68=20,$E$21&gt;1),$E$8*(1+Supuestos!$B$5)^MAX($E$9-1,0)*MAX(0,1-(20-$E$9)/$E$21),0)</f>
        <v/>
      </c>
      <c r="D74" s="14">
        <f>IF(AND(D$68=20,$E$21&gt;1),$E$8*(1+Supuestos!$B$5)^MAX($E$9-1,0)*MAX(0,1-(20-$E$9)/$E$21),0)</f>
        <v/>
      </c>
      <c r="E74" s="14">
        <f>IF(AND(E$68=20,$E$21&gt;1),$E$8*(1+Supuestos!$B$5)^MAX($E$9-1,0)*MAX(0,1-(20-$E$9)/$E$21),0)</f>
        <v/>
      </c>
      <c r="F74" s="14">
        <f>IF(AND(F$68=20,$E$21&gt;1),$E$8*(1+Supuestos!$B$5)^MAX($E$9-1,0)*MAX(0,1-(20-$E$9)/$E$21),0)</f>
        <v/>
      </c>
      <c r="G74" s="14">
        <f>IF(AND(G$68=20,$E$21&gt;1),$E$8*(1+Supuestos!$B$5)^MAX($E$9-1,0)*MAX(0,1-(20-$E$9)/$E$21),0)</f>
        <v/>
      </c>
      <c r="H74" s="14">
        <f>IF(AND(H$68=20,$E$21&gt;1),$E$8*(1+Supuestos!$B$5)^MAX($E$9-1,0)*MAX(0,1-(20-$E$9)/$E$21),0)</f>
        <v/>
      </c>
      <c r="I74" s="14">
        <f>IF(AND(I$68=20,$E$21&gt;1),$E$8*(1+Supuestos!$B$5)^MAX($E$9-1,0)*MAX(0,1-(20-$E$9)/$E$21),0)</f>
        <v/>
      </c>
      <c r="J74" s="14">
        <f>IF(AND(J$68=20,$E$21&gt;1),$E$8*(1+Supuestos!$B$5)^MAX($E$9-1,0)*MAX(0,1-(20-$E$9)/$E$21),0)</f>
        <v/>
      </c>
      <c r="K74" s="14">
        <f>IF(AND(K$68=20,$E$21&gt;1),$E$8*(1+Supuestos!$B$5)^MAX($E$9-1,0)*MAX(0,1-(20-$E$9)/$E$21),0)</f>
        <v/>
      </c>
      <c r="L74" s="14">
        <f>IF(AND(L$68=20,$E$21&gt;1),$E$8*(1+Supuestos!$B$5)^MAX($E$9-1,0)*MAX(0,1-(20-$E$9)/$E$21),0)</f>
        <v/>
      </c>
      <c r="M74" s="14">
        <f>IF(AND(M$68=20,$E$21&gt;1),$E$8*(1+Supuestos!$B$5)^MAX($E$9-1,0)*MAX(0,1-(20-$E$9)/$E$21),0)</f>
        <v/>
      </c>
      <c r="N74" s="14">
        <f>IF(AND(N$68=20,$E$21&gt;1),$E$8*(1+Supuestos!$B$5)^MAX($E$9-1,0)*MAX(0,1-(20-$E$9)/$E$21),0)</f>
        <v/>
      </c>
      <c r="O74" s="14">
        <f>IF(AND(O$68=20,$E$21&gt;1),$E$8*(1+Supuestos!$B$5)^MAX($E$9-1,0)*MAX(0,1-(20-$E$9)/$E$21),0)</f>
        <v/>
      </c>
      <c r="P74" s="14">
        <f>IF(AND(P$68=20,$E$21&gt;1),$E$8*(1+Supuestos!$B$5)^MAX($E$9-1,0)*MAX(0,1-(20-$E$9)/$E$21),0)</f>
        <v/>
      </c>
      <c r="Q74" s="14">
        <f>IF(AND(Q$68=20,$E$21&gt;1),$E$8*(1+Supuestos!$B$5)^MAX($E$9-1,0)*MAX(0,1-(20-$E$9)/$E$21),0)</f>
        <v/>
      </c>
      <c r="R74" s="14">
        <f>IF(AND(R$68=20,$E$21&gt;1),$E$8*(1+Supuestos!$B$5)^MAX($E$9-1,0)*MAX(0,1-(20-$E$9)/$E$21),0)</f>
        <v/>
      </c>
      <c r="S74" s="14">
        <f>IF(AND(S$68=20,$E$21&gt;1),$E$8*(1+Supuestos!$B$5)^MAX($E$9-1,0)*MAX(0,1-(20-$E$9)/$E$21),0)</f>
        <v/>
      </c>
      <c r="T74" s="14">
        <f>IF(AND(T$68=20,$E$21&gt;1),$E$8*(1+Supuestos!$B$5)^MAX($E$9-1,0)*MAX(0,1-(20-$E$9)/$E$21),0)</f>
        <v/>
      </c>
      <c r="U74" s="14">
        <f>IF(AND(U$68=20,$E$21&gt;1),$E$8*(1+Supuestos!$B$5)^MAX($E$9-1,0)*MAX(0,1-(20-$E$9)/$E$21),0)</f>
        <v/>
      </c>
      <c r="V74" s="14">
        <f>IF(AND(V$68=20,$E$21&gt;1),$E$8*(1+Supuestos!$B$5)^MAX($E$9-1,0)*MAX(0,1-(20-$E$9)/$E$21),0)</f>
        <v/>
      </c>
      <c r="W74" s="14">
        <f>IF(AND(W$68=20,$E$21&gt;1),$E$8*(1+Supuestos!$B$5)^MAX($E$9-1,0)*MAX(0,1-(20-$E$9)/$E$21),0)</f>
        <v/>
      </c>
    </row>
    <row r="75">
      <c r="A75" s="21" t="inlineStr">
        <is>
          <t xml:space="preserve">  Inversión - fase 2</t>
        </is>
      </c>
      <c r="C75" s="14">
        <f>IF(C$68=$E$28,-$E$27*(1+Supuestos!$B$5)^MAX($E$28-1,0),0)</f>
        <v/>
      </c>
      <c r="D75" s="14">
        <f>IF(D$68=$E$28,-$E$27*(1+Supuestos!$B$5)^MAX($E$28-1,0),0)</f>
        <v/>
      </c>
      <c r="E75" s="14">
        <f>IF(E$68=$E$28,-$E$27*(1+Supuestos!$B$5)^MAX($E$28-1,0),0)</f>
        <v/>
      </c>
      <c r="F75" s="14">
        <f>IF(F$68=$E$28,-$E$27*(1+Supuestos!$B$5)^MAX($E$28-1,0),0)</f>
        <v/>
      </c>
      <c r="G75" s="14">
        <f>IF(G$68=$E$28,-$E$27*(1+Supuestos!$B$5)^MAX($E$28-1,0),0)</f>
        <v/>
      </c>
      <c r="H75" s="14">
        <f>IF(H$68=$E$28,-$E$27*(1+Supuestos!$B$5)^MAX($E$28-1,0),0)</f>
        <v/>
      </c>
      <c r="I75" s="14">
        <f>IF(I$68=$E$28,-$E$27*(1+Supuestos!$B$5)^MAX($E$28-1,0),0)</f>
        <v/>
      </c>
      <c r="J75" s="14">
        <f>IF(J$68=$E$28,-$E$27*(1+Supuestos!$B$5)^MAX($E$28-1,0),0)</f>
        <v/>
      </c>
      <c r="K75" s="14">
        <f>IF(K$68=$E$28,-$E$27*(1+Supuestos!$B$5)^MAX($E$28-1,0),0)</f>
        <v/>
      </c>
      <c r="L75" s="14">
        <f>IF(L$68=$E$28,-$E$27*(1+Supuestos!$B$5)^MAX($E$28-1,0),0)</f>
        <v/>
      </c>
      <c r="M75" s="14">
        <f>IF(M$68=$E$28,-$E$27*(1+Supuestos!$B$5)^MAX($E$28-1,0),0)</f>
        <v/>
      </c>
      <c r="N75" s="14">
        <f>IF(N$68=$E$28,-$E$27*(1+Supuestos!$B$5)^MAX($E$28-1,0),0)</f>
        <v/>
      </c>
      <c r="O75" s="14">
        <f>IF(O$68=$E$28,-$E$27*(1+Supuestos!$B$5)^MAX($E$28-1,0),0)</f>
        <v/>
      </c>
      <c r="P75" s="14">
        <f>IF(P$68=$E$28,-$E$27*(1+Supuestos!$B$5)^MAX($E$28-1,0),0)</f>
        <v/>
      </c>
      <c r="Q75" s="14">
        <f>IF(Q$68=$E$28,-$E$27*(1+Supuestos!$B$5)^MAX($E$28-1,0),0)</f>
        <v/>
      </c>
      <c r="R75" s="14">
        <f>IF(R$68=$E$28,-$E$27*(1+Supuestos!$B$5)^MAX($E$28-1,0),0)</f>
        <v/>
      </c>
      <c r="S75" s="14">
        <f>IF(S$68=$E$28,-$E$27*(1+Supuestos!$B$5)^MAX($E$28-1,0),0)</f>
        <v/>
      </c>
      <c r="T75" s="14">
        <f>IF(T$68=$E$28,-$E$27*(1+Supuestos!$B$5)^MAX($E$28-1,0),0)</f>
        <v/>
      </c>
      <c r="U75" s="14">
        <f>IF(U$68=$E$28,-$E$27*(1+Supuestos!$B$5)^MAX($E$28-1,0),0)</f>
        <v/>
      </c>
      <c r="V75" s="14">
        <f>IF(V$68=$E$28,-$E$27*(1+Supuestos!$B$5)^MAX($E$28-1,0),0)</f>
        <v/>
      </c>
      <c r="W75" s="14">
        <f>IF(W$68=$E$28,-$E$27*(1+Supuestos!$B$5)^MAX($E$28-1,0),0)</f>
        <v/>
      </c>
    </row>
    <row r="76">
      <c r="A76" s="21" t="inlineStr">
        <is>
          <t xml:space="preserve">  Ingresos cobrados - fase 2</t>
        </is>
      </c>
      <c r="C76" s="14">
        <f>IF((C$68-$E$28)&gt;=1,CHOOSE(Supuestos!$B$3,$E$29,$E$30,$E$31)*12*CHOOSE(Supuestos!$B$3,$E$32,$E$33,$E$34)*IF((C$68-$E$28)=1,$E$38,IF((C$68-$E$28)=2,$E$39,1))*(1+Supuestos!$B$5)^MAX(C$68-1,0),0)</f>
        <v/>
      </c>
      <c r="D76" s="14">
        <f>IF((D$68-$E$28)&gt;=1,CHOOSE(Supuestos!$B$3,$E$29,$E$30,$E$31)*12*CHOOSE(Supuestos!$B$3,$E$32,$E$33,$E$34)*IF((D$68-$E$28)=1,$E$38,IF((D$68-$E$28)=2,$E$39,1))*(1+Supuestos!$B$5)^MAX(D$68-1,0),0)</f>
        <v/>
      </c>
      <c r="E76" s="14">
        <f>IF((E$68-$E$28)&gt;=1,CHOOSE(Supuestos!$B$3,$E$29,$E$30,$E$31)*12*CHOOSE(Supuestos!$B$3,$E$32,$E$33,$E$34)*IF((E$68-$E$28)=1,$E$38,IF((E$68-$E$28)=2,$E$39,1))*(1+Supuestos!$B$5)^MAX(E$68-1,0),0)</f>
        <v/>
      </c>
      <c r="F76" s="14">
        <f>IF((F$68-$E$28)&gt;=1,CHOOSE(Supuestos!$B$3,$E$29,$E$30,$E$31)*12*CHOOSE(Supuestos!$B$3,$E$32,$E$33,$E$34)*IF((F$68-$E$28)=1,$E$38,IF((F$68-$E$28)=2,$E$39,1))*(1+Supuestos!$B$5)^MAX(F$68-1,0),0)</f>
        <v/>
      </c>
      <c r="G76" s="14">
        <f>IF((G$68-$E$28)&gt;=1,CHOOSE(Supuestos!$B$3,$E$29,$E$30,$E$31)*12*CHOOSE(Supuestos!$B$3,$E$32,$E$33,$E$34)*IF((G$68-$E$28)=1,$E$38,IF((G$68-$E$28)=2,$E$39,1))*(1+Supuestos!$B$5)^MAX(G$68-1,0),0)</f>
        <v/>
      </c>
      <c r="H76" s="14">
        <f>IF((H$68-$E$28)&gt;=1,CHOOSE(Supuestos!$B$3,$E$29,$E$30,$E$31)*12*CHOOSE(Supuestos!$B$3,$E$32,$E$33,$E$34)*IF((H$68-$E$28)=1,$E$38,IF((H$68-$E$28)=2,$E$39,1))*(1+Supuestos!$B$5)^MAX(H$68-1,0),0)</f>
        <v/>
      </c>
      <c r="I76" s="14">
        <f>IF((I$68-$E$28)&gt;=1,CHOOSE(Supuestos!$B$3,$E$29,$E$30,$E$31)*12*CHOOSE(Supuestos!$B$3,$E$32,$E$33,$E$34)*IF((I$68-$E$28)=1,$E$38,IF((I$68-$E$28)=2,$E$39,1))*(1+Supuestos!$B$5)^MAX(I$68-1,0),0)</f>
        <v/>
      </c>
      <c r="J76" s="14">
        <f>IF((J$68-$E$28)&gt;=1,CHOOSE(Supuestos!$B$3,$E$29,$E$30,$E$31)*12*CHOOSE(Supuestos!$B$3,$E$32,$E$33,$E$34)*IF((J$68-$E$28)=1,$E$38,IF((J$68-$E$28)=2,$E$39,1))*(1+Supuestos!$B$5)^MAX(J$68-1,0),0)</f>
        <v/>
      </c>
      <c r="K76" s="14">
        <f>IF((K$68-$E$28)&gt;=1,CHOOSE(Supuestos!$B$3,$E$29,$E$30,$E$31)*12*CHOOSE(Supuestos!$B$3,$E$32,$E$33,$E$34)*IF((K$68-$E$28)=1,$E$38,IF((K$68-$E$28)=2,$E$39,1))*(1+Supuestos!$B$5)^MAX(K$68-1,0),0)</f>
        <v/>
      </c>
      <c r="L76" s="14">
        <f>IF((L$68-$E$28)&gt;=1,CHOOSE(Supuestos!$B$3,$E$29,$E$30,$E$31)*12*CHOOSE(Supuestos!$B$3,$E$32,$E$33,$E$34)*IF((L$68-$E$28)=1,$E$38,IF((L$68-$E$28)=2,$E$39,1))*(1+Supuestos!$B$5)^MAX(L$68-1,0),0)</f>
        <v/>
      </c>
      <c r="M76" s="14">
        <f>IF((M$68-$E$28)&gt;=1,CHOOSE(Supuestos!$B$3,$E$29,$E$30,$E$31)*12*CHOOSE(Supuestos!$B$3,$E$32,$E$33,$E$34)*IF((M$68-$E$28)=1,$E$38,IF((M$68-$E$28)=2,$E$39,1))*(1+Supuestos!$B$5)^MAX(M$68-1,0),0)</f>
        <v/>
      </c>
      <c r="N76" s="14">
        <f>IF((N$68-$E$28)&gt;=1,CHOOSE(Supuestos!$B$3,$E$29,$E$30,$E$31)*12*CHOOSE(Supuestos!$B$3,$E$32,$E$33,$E$34)*IF((N$68-$E$28)=1,$E$38,IF((N$68-$E$28)=2,$E$39,1))*(1+Supuestos!$B$5)^MAX(N$68-1,0),0)</f>
        <v/>
      </c>
      <c r="O76" s="14">
        <f>IF((O$68-$E$28)&gt;=1,CHOOSE(Supuestos!$B$3,$E$29,$E$30,$E$31)*12*CHOOSE(Supuestos!$B$3,$E$32,$E$33,$E$34)*IF((O$68-$E$28)=1,$E$38,IF((O$68-$E$28)=2,$E$39,1))*(1+Supuestos!$B$5)^MAX(O$68-1,0),0)</f>
        <v/>
      </c>
      <c r="P76" s="14">
        <f>IF((P$68-$E$28)&gt;=1,CHOOSE(Supuestos!$B$3,$E$29,$E$30,$E$31)*12*CHOOSE(Supuestos!$B$3,$E$32,$E$33,$E$34)*IF((P$68-$E$28)=1,$E$38,IF((P$68-$E$28)=2,$E$39,1))*(1+Supuestos!$B$5)^MAX(P$68-1,0),0)</f>
        <v/>
      </c>
      <c r="Q76" s="14">
        <f>IF((Q$68-$E$28)&gt;=1,CHOOSE(Supuestos!$B$3,$E$29,$E$30,$E$31)*12*CHOOSE(Supuestos!$B$3,$E$32,$E$33,$E$34)*IF((Q$68-$E$28)=1,$E$38,IF((Q$68-$E$28)=2,$E$39,1))*(1+Supuestos!$B$5)^MAX(Q$68-1,0),0)</f>
        <v/>
      </c>
      <c r="R76" s="14">
        <f>IF((R$68-$E$28)&gt;=1,CHOOSE(Supuestos!$B$3,$E$29,$E$30,$E$31)*12*CHOOSE(Supuestos!$B$3,$E$32,$E$33,$E$34)*IF((R$68-$E$28)=1,$E$38,IF((R$68-$E$28)=2,$E$39,1))*(1+Supuestos!$B$5)^MAX(R$68-1,0),0)</f>
        <v/>
      </c>
      <c r="S76" s="14">
        <f>IF((S$68-$E$28)&gt;=1,CHOOSE(Supuestos!$B$3,$E$29,$E$30,$E$31)*12*CHOOSE(Supuestos!$B$3,$E$32,$E$33,$E$34)*IF((S$68-$E$28)=1,$E$38,IF((S$68-$E$28)=2,$E$39,1))*(1+Supuestos!$B$5)^MAX(S$68-1,0),0)</f>
        <v/>
      </c>
      <c r="T76" s="14">
        <f>IF((T$68-$E$28)&gt;=1,CHOOSE(Supuestos!$B$3,$E$29,$E$30,$E$31)*12*CHOOSE(Supuestos!$B$3,$E$32,$E$33,$E$34)*IF((T$68-$E$28)=1,$E$38,IF((T$68-$E$28)=2,$E$39,1))*(1+Supuestos!$B$5)^MAX(T$68-1,0),0)</f>
        <v/>
      </c>
      <c r="U76" s="14">
        <f>IF((U$68-$E$28)&gt;=1,CHOOSE(Supuestos!$B$3,$E$29,$E$30,$E$31)*12*CHOOSE(Supuestos!$B$3,$E$32,$E$33,$E$34)*IF((U$68-$E$28)=1,$E$38,IF((U$68-$E$28)=2,$E$39,1))*(1+Supuestos!$B$5)^MAX(U$68-1,0),0)</f>
        <v/>
      </c>
      <c r="V76" s="14">
        <f>IF((V$68-$E$28)&gt;=1,CHOOSE(Supuestos!$B$3,$E$29,$E$30,$E$31)*12*CHOOSE(Supuestos!$B$3,$E$32,$E$33,$E$34)*IF((V$68-$E$28)=1,$E$38,IF((V$68-$E$28)=2,$E$39,1))*(1+Supuestos!$B$5)^MAX(V$68-1,0),0)</f>
        <v/>
      </c>
      <c r="W76" s="14">
        <f>IF((W$68-$E$28)&gt;=1,CHOOSE(Supuestos!$B$3,$E$29,$E$30,$E$31)*12*CHOOSE(Supuestos!$B$3,$E$32,$E$33,$E$34)*IF((W$68-$E$28)=1,$E$38,IF((W$68-$E$28)=2,$E$39,1))*(1+Supuestos!$B$5)^MAX(W$68-1,0),0)</f>
        <v/>
      </c>
    </row>
    <row r="77">
      <c r="A77" s="21" t="inlineStr">
        <is>
          <t xml:space="preserve">  Gastos - fase 2</t>
        </is>
      </c>
      <c r="C77" s="14">
        <f>IF((C$68-$E$28)&gt;=1,-$E$35*(1+Supuestos!$B$5)^MAX(C$68-1,0)-$E$36*C76,0)</f>
        <v/>
      </c>
      <c r="D77" s="14">
        <f>IF((D$68-$E$28)&gt;=1,-$E$35*(1+Supuestos!$B$5)^MAX(D$68-1,0)-$E$36*D76,0)</f>
        <v/>
      </c>
      <c r="E77" s="14">
        <f>IF((E$68-$E$28)&gt;=1,-$E$35*(1+Supuestos!$B$5)^MAX(E$68-1,0)-$E$36*E76,0)</f>
        <v/>
      </c>
      <c r="F77" s="14">
        <f>IF((F$68-$E$28)&gt;=1,-$E$35*(1+Supuestos!$B$5)^MAX(F$68-1,0)-$E$36*F76,0)</f>
        <v/>
      </c>
      <c r="G77" s="14">
        <f>IF((G$68-$E$28)&gt;=1,-$E$35*(1+Supuestos!$B$5)^MAX(G$68-1,0)-$E$36*G76,0)</f>
        <v/>
      </c>
      <c r="H77" s="14">
        <f>IF((H$68-$E$28)&gt;=1,-$E$35*(1+Supuestos!$B$5)^MAX(H$68-1,0)-$E$36*H76,0)</f>
        <v/>
      </c>
      <c r="I77" s="14">
        <f>IF((I$68-$E$28)&gt;=1,-$E$35*(1+Supuestos!$B$5)^MAX(I$68-1,0)-$E$36*I76,0)</f>
        <v/>
      </c>
      <c r="J77" s="14">
        <f>IF((J$68-$E$28)&gt;=1,-$E$35*(1+Supuestos!$B$5)^MAX(J$68-1,0)-$E$36*J76,0)</f>
        <v/>
      </c>
      <c r="K77" s="14">
        <f>IF((K$68-$E$28)&gt;=1,-$E$35*(1+Supuestos!$B$5)^MAX(K$68-1,0)-$E$36*K76,0)</f>
        <v/>
      </c>
      <c r="L77" s="14">
        <f>IF((L$68-$E$28)&gt;=1,-$E$35*(1+Supuestos!$B$5)^MAX(L$68-1,0)-$E$36*L76,0)</f>
        <v/>
      </c>
      <c r="M77" s="14">
        <f>IF((M$68-$E$28)&gt;=1,-$E$35*(1+Supuestos!$B$5)^MAX(M$68-1,0)-$E$36*M76,0)</f>
        <v/>
      </c>
      <c r="N77" s="14">
        <f>IF((N$68-$E$28)&gt;=1,-$E$35*(1+Supuestos!$B$5)^MAX(N$68-1,0)-$E$36*N76,0)</f>
        <v/>
      </c>
      <c r="O77" s="14">
        <f>IF((O$68-$E$28)&gt;=1,-$E$35*(1+Supuestos!$B$5)^MAX(O$68-1,0)-$E$36*O76,0)</f>
        <v/>
      </c>
      <c r="P77" s="14">
        <f>IF((P$68-$E$28)&gt;=1,-$E$35*(1+Supuestos!$B$5)^MAX(P$68-1,0)-$E$36*P76,0)</f>
        <v/>
      </c>
      <c r="Q77" s="14">
        <f>IF((Q$68-$E$28)&gt;=1,-$E$35*(1+Supuestos!$B$5)^MAX(Q$68-1,0)-$E$36*Q76,0)</f>
        <v/>
      </c>
      <c r="R77" s="14">
        <f>IF((R$68-$E$28)&gt;=1,-$E$35*(1+Supuestos!$B$5)^MAX(R$68-1,0)-$E$36*R76,0)</f>
        <v/>
      </c>
      <c r="S77" s="14">
        <f>IF((S$68-$E$28)&gt;=1,-$E$35*(1+Supuestos!$B$5)^MAX(S$68-1,0)-$E$36*S76,0)</f>
        <v/>
      </c>
      <c r="T77" s="14">
        <f>IF((T$68-$E$28)&gt;=1,-$E$35*(1+Supuestos!$B$5)^MAX(T$68-1,0)-$E$36*T76,0)</f>
        <v/>
      </c>
      <c r="U77" s="14">
        <f>IF((U$68-$E$28)&gt;=1,-$E$35*(1+Supuestos!$B$5)^MAX(U$68-1,0)-$E$36*U76,0)</f>
        <v/>
      </c>
      <c r="V77" s="14">
        <f>IF((V$68-$E$28)&gt;=1,-$E$35*(1+Supuestos!$B$5)^MAX(V$68-1,0)-$E$36*V76,0)</f>
        <v/>
      </c>
      <c r="W77" s="14">
        <f>IF((W$68-$E$28)&gt;=1,-$E$35*(1+Supuestos!$B$5)^MAX(W$68-1,0)-$E$36*W76,0)</f>
        <v/>
      </c>
    </row>
    <row r="78">
      <c r="A78" s="21" t="inlineStr">
        <is>
          <t xml:space="preserve">  Impuestos - fase 2</t>
        </is>
      </c>
      <c r="C78" s="14">
        <f>-$E$37*C76</f>
        <v/>
      </c>
      <c r="D78" s="14">
        <f>-$E$37*D76</f>
        <v/>
      </c>
      <c r="E78" s="14">
        <f>-$E$37*E76</f>
        <v/>
      </c>
      <c r="F78" s="14">
        <f>-$E$37*F76</f>
        <v/>
      </c>
      <c r="G78" s="14">
        <f>-$E$37*G76</f>
        <v/>
      </c>
      <c r="H78" s="14">
        <f>-$E$37*H76</f>
        <v/>
      </c>
      <c r="I78" s="14">
        <f>-$E$37*I76</f>
        <v/>
      </c>
      <c r="J78" s="14">
        <f>-$E$37*J76</f>
        <v/>
      </c>
      <c r="K78" s="14">
        <f>-$E$37*K76</f>
        <v/>
      </c>
      <c r="L78" s="14">
        <f>-$E$37*L76</f>
        <v/>
      </c>
      <c r="M78" s="14">
        <f>-$E$37*M76</f>
        <v/>
      </c>
      <c r="N78" s="14">
        <f>-$E$37*N76</f>
        <v/>
      </c>
      <c r="O78" s="14">
        <f>-$E$37*O76</f>
        <v/>
      </c>
      <c r="P78" s="14">
        <f>-$E$37*P76</f>
        <v/>
      </c>
      <c r="Q78" s="14">
        <f>-$E$37*Q76</f>
        <v/>
      </c>
      <c r="R78" s="14">
        <f>-$E$37*R76</f>
        <v/>
      </c>
      <c r="S78" s="14">
        <f>-$E$37*S76</f>
        <v/>
      </c>
      <c r="T78" s="14">
        <f>-$E$37*T76</f>
        <v/>
      </c>
      <c r="U78" s="14">
        <f>-$E$37*U76</f>
        <v/>
      </c>
      <c r="V78" s="14">
        <f>-$E$37*V76</f>
        <v/>
      </c>
      <c r="W78" s="14">
        <f>-$E$37*W76</f>
        <v/>
      </c>
    </row>
    <row r="79">
      <c r="A79" s="21" t="inlineStr">
        <is>
          <t xml:space="preserve">  Reposiciones - fase 2</t>
        </is>
      </c>
      <c r="C79" s="14">
        <f>0</f>
        <v/>
      </c>
      <c r="D79" s="14">
        <f>0</f>
        <v/>
      </c>
      <c r="E79" s="14">
        <f>0</f>
        <v/>
      </c>
      <c r="F79" s="14">
        <f>0</f>
        <v/>
      </c>
      <c r="G79" s="14">
        <f>0</f>
        <v/>
      </c>
      <c r="H79" s="14">
        <f>0</f>
        <v/>
      </c>
      <c r="I79" s="14">
        <f>0</f>
        <v/>
      </c>
      <c r="J79" s="14">
        <f>0</f>
        <v/>
      </c>
      <c r="K79" s="14">
        <f>0</f>
        <v/>
      </c>
      <c r="L79" s="14">
        <f>0</f>
        <v/>
      </c>
      <c r="M79" s="14">
        <f>0</f>
        <v/>
      </c>
      <c r="N79" s="14">
        <f>0</f>
        <v/>
      </c>
      <c r="O79" s="14">
        <f>0</f>
        <v/>
      </c>
      <c r="P79" s="14">
        <f>0</f>
        <v/>
      </c>
      <c r="Q79" s="14">
        <f>0</f>
        <v/>
      </c>
      <c r="R79" s="14">
        <f>0</f>
        <v/>
      </c>
      <c r="S79" s="14">
        <f>0</f>
        <v/>
      </c>
      <c r="T79" s="14">
        <f>0</f>
        <v/>
      </c>
      <c r="U79" s="14">
        <f>0</f>
        <v/>
      </c>
      <c r="V79" s="14">
        <f>0</f>
        <v/>
      </c>
      <c r="W79" s="14">
        <f>0</f>
        <v/>
      </c>
    </row>
    <row r="80">
      <c r="A80" s="21" t="inlineStr">
        <is>
          <t xml:space="preserve">  Valor residual (año 20) - fase 2</t>
        </is>
      </c>
      <c r="C80" s="14">
        <f>IF(AND(C$68=20,$E$40&gt;1),$E$27*(1+Supuestos!$B$5)^MAX($E$28-1,0)*MAX(0,1-(20-$E$28)/$E$40),0)</f>
        <v/>
      </c>
      <c r="D80" s="14">
        <f>IF(AND(D$68=20,$E$40&gt;1),$E$27*(1+Supuestos!$B$5)^MAX($E$28-1,0)*MAX(0,1-(20-$E$28)/$E$40),0)</f>
        <v/>
      </c>
      <c r="E80" s="14">
        <f>IF(AND(E$68=20,$E$40&gt;1),$E$27*(1+Supuestos!$B$5)^MAX($E$28-1,0)*MAX(0,1-(20-$E$28)/$E$40),0)</f>
        <v/>
      </c>
      <c r="F80" s="14">
        <f>IF(AND(F$68=20,$E$40&gt;1),$E$27*(1+Supuestos!$B$5)^MAX($E$28-1,0)*MAX(0,1-(20-$E$28)/$E$40),0)</f>
        <v/>
      </c>
      <c r="G80" s="14">
        <f>IF(AND(G$68=20,$E$40&gt;1),$E$27*(1+Supuestos!$B$5)^MAX($E$28-1,0)*MAX(0,1-(20-$E$28)/$E$40),0)</f>
        <v/>
      </c>
      <c r="H80" s="14">
        <f>IF(AND(H$68=20,$E$40&gt;1),$E$27*(1+Supuestos!$B$5)^MAX($E$28-1,0)*MAX(0,1-(20-$E$28)/$E$40),0)</f>
        <v/>
      </c>
      <c r="I80" s="14">
        <f>IF(AND(I$68=20,$E$40&gt;1),$E$27*(1+Supuestos!$B$5)^MAX($E$28-1,0)*MAX(0,1-(20-$E$28)/$E$40),0)</f>
        <v/>
      </c>
      <c r="J80" s="14">
        <f>IF(AND(J$68=20,$E$40&gt;1),$E$27*(1+Supuestos!$B$5)^MAX($E$28-1,0)*MAX(0,1-(20-$E$28)/$E$40),0)</f>
        <v/>
      </c>
      <c r="K80" s="14">
        <f>IF(AND(K$68=20,$E$40&gt;1),$E$27*(1+Supuestos!$B$5)^MAX($E$28-1,0)*MAX(0,1-(20-$E$28)/$E$40),0)</f>
        <v/>
      </c>
      <c r="L80" s="14">
        <f>IF(AND(L$68=20,$E$40&gt;1),$E$27*(1+Supuestos!$B$5)^MAX($E$28-1,0)*MAX(0,1-(20-$E$28)/$E$40),0)</f>
        <v/>
      </c>
      <c r="M80" s="14">
        <f>IF(AND(M$68=20,$E$40&gt;1),$E$27*(1+Supuestos!$B$5)^MAX($E$28-1,0)*MAX(0,1-(20-$E$28)/$E$40),0)</f>
        <v/>
      </c>
      <c r="N80" s="14">
        <f>IF(AND(N$68=20,$E$40&gt;1),$E$27*(1+Supuestos!$B$5)^MAX($E$28-1,0)*MAX(0,1-(20-$E$28)/$E$40),0)</f>
        <v/>
      </c>
      <c r="O80" s="14">
        <f>IF(AND(O$68=20,$E$40&gt;1),$E$27*(1+Supuestos!$B$5)^MAX($E$28-1,0)*MAX(0,1-(20-$E$28)/$E$40),0)</f>
        <v/>
      </c>
      <c r="P80" s="14">
        <f>IF(AND(P$68=20,$E$40&gt;1),$E$27*(1+Supuestos!$B$5)^MAX($E$28-1,0)*MAX(0,1-(20-$E$28)/$E$40),0)</f>
        <v/>
      </c>
      <c r="Q80" s="14">
        <f>IF(AND(Q$68=20,$E$40&gt;1),$E$27*(1+Supuestos!$B$5)^MAX($E$28-1,0)*MAX(0,1-(20-$E$28)/$E$40),0)</f>
        <v/>
      </c>
      <c r="R80" s="14">
        <f>IF(AND(R$68=20,$E$40&gt;1),$E$27*(1+Supuestos!$B$5)^MAX($E$28-1,0)*MAX(0,1-(20-$E$28)/$E$40),0)</f>
        <v/>
      </c>
      <c r="S80" s="14">
        <f>IF(AND(S$68=20,$E$40&gt;1),$E$27*(1+Supuestos!$B$5)^MAX($E$28-1,0)*MAX(0,1-(20-$E$28)/$E$40),0)</f>
        <v/>
      </c>
      <c r="T80" s="14">
        <f>IF(AND(T$68=20,$E$40&gt;1),$E$27*(1+Supuestos!$B$5)^MAX($E$28-1,0)*MAX(0,1-(20-$E$28)/$E$40),0)</f>
        <v/>
      </c>
      <c r="U80" s="14">
        <f>IF(AND(U$68=20,$E$40&gt;1),$E$27*(1+Supuestos!$B$5)^MAX($E$28-1,0)*MAX(0,1-(20-$E$28)/$E$40),0)</f>
        <v/>
      </c>
      <c r="V80" s="14">
        <f>IF(AND(V$68=20,$E$40&gt;1),$E$27*(1+Supuestos!$B$5)^MAX($E$28-1,0)*MAX(0,1-(20-$E$28)/$E$40),0)</f>
        <v/>
      </c>
      <c r="W80" s="14">
        <f>IF(AND(W$68=20,$E$40&gt;1),$E$27*(1+Supuestos!$B$5)^MAX($E$28-1,0)*MAX(0,1-(20-$E$28)/$E$40),0)</f>
        <v/>
      </c>
    </row>
    <row r="81">
      <c r="A81" s="21" t="inlineStr">
        <is>
          <t xml:space="preserve">  Inversión - fase 3</t>
        </is>
      </c>
      <c r="C81" s="14">
        <f>IF(C$68=$E$51,-$E$50*(1+Supuestos!$B$5)^MAX($E$51-1,0),0)</f>
        <v/>
      </c>
      <c r="D81" s="14">
        <f>IF(D$68=$E$51,-$E$50*(1+Supuestos!$B$5)^MAX($E$51-1,0),0)</f>
        <v/>
      </c>
      <c r="E81" s="14">
        <f>IF(E$68=$E$51,-$E$50*(1+Supuestos!$B$5)^MAX($E$51-1,0),0)</f>
        <v/>
      </c>
      <c r="F81" s="14">
        <f>IF(F$68=$E$51,-$E$50*(1+Supuestos!$B$5)^MAX($E$51-1,0),0)</f>
        <v/>
      </c>
      <c r="G81" s="14">
        <f>IF(G$68=$E$51,-$E$50*(1+Supuestos!$B$5)^MAX($E$51-1,0),0)</f>
        <v/>
      </c>
      <c r="H81" s="14">
        <f>IF(H$68=$E$51,-$E$50*(1+Supuestos!$B$5)^MAX($E$51-1,0),0)</f>
        <v/>
      </c>
      <c r="I81" s="14">
        <f>IF(I$68=$E$51,-$E$50*(1+Supuestos!$B$5)^MAX($E$51-1,0),0)</f>
        <v/>
      </c>
      <c r="J81" s="14">
        <f>IF(J$68=$E$51,-$E$50*(1+Supuestos!$B$5)^MAX($E$51-1,0),0)</f>
        <v/>
      </c>
      <c r="K81" s="14">
        <f>IF(K$68=$E$51,-$E$50*(1+Supuestos!$B$5)^MAX($E$51-1,0),0)</f>
        <v/>
      </c>
      <c r="L81" s="14">
        <f>IF(L$68=$E$51,-$E$50*(1+Supuestos!$B$5)^MAX($E$51-1,0),0)</f>
        <v/>
      </c>
      <c r="M81" s="14">
        <f>IF(M$68=$E$51,-$E$50*(1+Supuestos!$B$5)^MAX($E$51-1,0),0)</f>
        <v/>
      </c>
      <c r="N81" s="14">
        <f>IF(N$68=$E$51,-$E$50*(1+Supuestos!$B$5)^MAX($E$51-1,0),0)</f>
        <v/>
      </c>
      <c r="O81" s="14">
        <f>IF(O$68=$E$51,-$E$50*(1+Supuestos!$B$5)^MAX($E$51-1,0),0)</f>
        <v/>
      </c>
      <c r="P81" s="14">
        <f>IF(P$68=$E$51,-$E$50*(1+Supuestos!$B$5)^MAX($E$51-1,0),0)</f>
        <v/>
      </c>
      <c r="Q81" s="14">
        <f>IF(Q$68=$E$51,-$E$50*(1+Supuestos!$B$5)^MAX($E$51-1,0),0)</f>
        <v/>
      </c>
      <c r="R81" s="14">
        <f>IF(R$68=$E$51,-$E$50*(1+Supuestos!$B$5)^MAX($E$51-1,0),0)</f>
        <v/>
      </c>
      <c r="S81" s="14">
        <f>IF(S$68=$E$51,-$E$50*(1+Supuestos!$B$5)^MAX($E$51-1,0),0)</f>
        <v/>
      </c>
      <c r="T81" s="14">
        <f>IF(T$68=$E$51,-$E$50*(1+Supuestos!$B$5)^MAX($E$51-1,0),0)</f>
        <v/>
      </c>
      <c r="U81" s="14">
        <f>IF(U$68=$E$51,-$E$50*(1+Supuestos!$B$5)^MAX($E$51-1,0),0)</f>
        <v/>
      </c>
      <c r="V81" s="14">
        <f>IF(V$68=$E$51,-$E$50*(1+Supuestos!$B$5)^MAX($E$51-1,0),0)</f>
        <v/>
      </c>
      <c r="W81" s="14">
        <f>IF(W$68=$E$51,-$E$50*(1+Supuestos!$B$5)^MAX($E$51-1,0),0)</f>
        <v/>
      </c>
    </row>
    <row r="82">
      <c r="A82" s="21" t="inlineStr">
        <is>
          <t xml:space="preserve">  Ingresos cobrados - fase 3</t>
        </is>
      </c>
      <c r="C82" s="14">
        <f>IF((C$68-$E$51)&gt;=1,CHOOSE(Supuestos!$B$3,$E$52,$E$53,$E$54)*12*CHOOSE(Supuestos!$B$3,$E$55,$E$56,$E$57)*IF((C$68-$E$51)=1,$E$61,IF((C$68-$E$51)=2,$E$62,1))*(1+Supuestos!$B$5)^MAX(C$68-1,0),0)</f>
        <v/>
      </c>
      <c r="D82" s="14">
        <f>IF((D$68-$E$51)&gt;=1,CHOOSE(Supuestos!$B$3,$E$52,$E$53,$E$54)*12*CHOOSE(Supuestos!$B$3,$E$55,$E$56,$E$57)*IF((D$68-$E$51)=1,$E$61,IF((D$68-$E$51)=2,$E$62,1))*(1+Supuestos!$B$5)^MAX(D$68-1,0),0)</f>
        <v/>
      </c>
      <c r="E82" s="14">
        <f>IF((E$68-$E$51)&gt;=1,CHOOSE(Supuestos!$B$3,$E$52,$E$53,$E$54)*12*CHOOSE(Supuestos!$B$3,$E$55,$E$56,$E$57)*IF((E$68-$E$51)=1,$E$61,IF((E$68-$E$51)=2,$E$62,1))*(1+Supuestos!$B$5)^MAX(E$68-1,0),0)</f>
        <v/>
      </c>
      <c r="F82" s="14">
        <f>IF((F$68-$E$51)&gt;=1,CHOOSE(Supuestos!$B$3,$E$52,$E$53,$E$54)*12*CHOOSE(Supuestos!$B$3,$E$55,$E$56,$E$57)*IF((F$68-$E$51)=1,$E$61,IF((F$68-$E$51)=2,$E$62,1))*(1+Supuestos!$B$5)^MAX(F$68-1,0),0)</f>
        <v/>
      </c>
      <c r="G82" s="14">
        <f>IF((G$68-$E$51)&gt;=1,CHOOSE(Supuestos!$B$3,$E$52,$E$53,$E$54)*12*CHOOSE(Supuestos!$B$3,$E$55,$E$56,$E$57)*IF((G$68-$E$51)=1,$E$61,IF((G$68-$E$51)=2,$E$62,1))*(1+Supuestos!$B$5)^MAX(G$68-1,0),0)</f>
        <v/>
      </c>
      <c r="H82" s="14">
        <f>IF((H$68-$E$51)&gt;=1,CHOOSE(Supuestos!$B$3,$E$52,$E$53,$E$54)*12*CHOOSE(Supuestos!$B$3,$E$55,$E$56,$E$57)*IF((H$68-$E$51)=1,$E$61,IF((H$68-$E$51)=2,$E$62,1))*(1+Supuestos!$B$5)^MAX(H$68-1,0),0)</f>
        <v/>
      </c>
      <c r="I82" s="14">
        <f>IF((I$68-$E$51)&gt;=1,CHOOSE(Supuestos!$B$3,$E$52,$E$53,$E$54)*12*CHOOSE(Supuestos!$B$3,$E$55,$E$56,$E$57)*IF((I$68-$E$51)=1,$E$61,IF((I$68-$E$51)=2,$E$62,1))*(1+Supuestos!$B$5)^MAX(I$68-1,0),0)</f>
        <v/>
      </c>
      <c r="J82" s="14">
        <f>IF((J$68-$E$51)&gt;=1,CHOOSE(Supuestos!$B$3,$E$52,$E$53,$E$54)*12*CHOOSE(Supuestos!$B$3,$E$55,$E$56,$E$57)*IF((J$68-$E$51)=1,$E$61,IF((J$68-$E$51)=2,$E$62,1))*(1+Supuestos!$B$5)^MAX(J$68-1,0),0)</f>
        <v/>
      </c>
      <c r="K82" s="14">
        <f>IF((K$68-$E$51)&gt;=1,CHOOSE(Supuestos!$B$3,$E$52,$E$53,$E$54)*12*CHOOSE(Supuestos!$B$3,$E$55,$E$56,$E$57)*IF((K$68-$E$51)=1,$E$61,IF((K$68-$E$51)=2,$E$62,1))*(1+Supuestos!$B$5)^MAX(K$68-1,0),0)</f>
        <v/>
      </c>
      <c r="L82" s="14">
        <f>IF((L$68-$E$51)&gt;=1,CHOOSE(Supuestos!$B$3,$E$52,$E$53,$E$54)*12*CHOOSE(Supuestos!$B$3,$E$55,$E$56,$E$57)*IF((L$68-$E$51)=1,$E$61,IF((L$68-$E$51)=2,$E$62,1))*(1+Supuestos!$B$5)^MAX(L$68-1,0),0)</f>
        <v/>
      </c>
      <c r="M82" s="14">
        <f>IF((M$68-$E$51)&gt;=1,CHOOSE(Supuestos!$B$3,$E$52,$E$53,$E$54)*12*CHOOSE(Supuestos!$B$3,$E$55,$E$56,$E$57)*IF((M$68-$E$51)=1,$E$61,IF((M$68-$E$51)=2,$E$62,1))*(1+Supuestos!$B$5)^MAX(M$68-1,0),0)</f>
        <v/>
      </c>
      <c r="N82" s="14">
        <f>IF((N$68-$E$51)&gt;=1,CHOOSE(Supuestos!$B$3,$E$52,$E$53,$E$54)*12*CHOOSE(Supuestos!$B$3,$E$55,$E$56,$E$57)*IF((N$68-$E$51)=1,$E$61,IF((N$68-$E$51)=2,$E$62,1))*(1+Supuestos!$B$5)^MAX(N$68-1,0),0)</f>
        <v/>
      </c>
      <c r="O82" s="14">
        <f>IF((O$68-$E$51)&gt;=1,CHOOSE(Supuestos!$B$3,$E$52,$E$53,$E$54)*12*CHOOSE(Supuestos!$B$3,$E$55,$E$56,$E$57)*IF((O$68-$E$51)=1,$E$61,IF((O$68-$E$51)=2,$E$62,1))*(1+Supuestos!$B$5)^MAX(O$68-1,0),0)</f>
        <v/>
      </c>
      <c r="P82" s="14">
        <f>IF((P$68-$E$51)&gt;=1,CHOOSE(Supuestos!$B$3,$E$52,$E$53,$E$54)*12*CHOOSE(Supuestos!$B$3,$E$55,$E$56,$E$57)*IF((P$68-$E$51)=1,$E$61,IF((P$68-$E$51)=2,$E$62,1))*(1+Supuestos!$B$5)^MAX(P$68-1,0),0)</f>
        <v/>
      </c>
      <c r="Q82" s="14">
        <f>IF((Q$68-$E$51)&gt;=1,CHOOSE(Supuestos!$B$3,$E$52,$E$53,$E$54)*12*CHOOSE(Supuestos!$B$3,$E$55,$E$56,$E$57)*IF((Q$68-$E$51)=1,$E$61,IF((Q$68-$E$51)=2,$E$62,1))*(1+Supuestos!$B$5)^MAX(Q$68-1,0),0)</f>
        <v/>
      </c>
      <c r="R82" s="14">
        <f>IF((R$68-$E$51)&gt;=1,CHOOSE(Supuestos!$B$3,$E$52,$E$53,$E$54)*12*CHOOSE(Supuestos!$B$3,$E$55,$E$56,$E$57)*IF((R$68-$E$51)=1,$E$61,IF((R$68-$E$51)=2,$E$62,1))*(1+Supuestos!$B$5)^MAX(R$68-1,0),0)</f>
        <v/>
      </c>
      <c r="S82" s="14">
        <f>IF((S$68-$E$51)&gt;=1,CHOOSE(Supuestos!$B$3,$E$52,$E$53,$E$54)*12*CHOOSE(Supuestos!$B$3,$E$55,$E$56,$E$57)*IF((S$68-$E$51)=1,$E$61,IF((S$68-$E$51)=2,$E$62,1))*(1+Supuestos!$B$5)^MAX(S$68-1,0),0)</f>
        <v/>
      </c>
      <c r="T82" s="14">
        <f>IF((T$68-$E$51)&gt;=1,CHOOSE(Supuestos!$B$3,$E$52,$E$53,$E$54)*12*CHOOSE(Supuestos!$B$3,$E$55,$E$56,$E$57)*IF((T$68-$E$51)=1,$E$61,IF((T$68-$E$51)=2,$E$62,1))*(1+Supuestos!$B$5)^MAX(T$68-1,0),0)</f>
        <v/>
      </c>
      <c r="U82" s="14">
        <f>IF((U$68-$E$51)&gt;=1,CHOOSE(Supuestos!$B$3,$E$52,$E$53,$E$54)*12*CHOOSE(Supuestos!$B$3,$E$55,$E$56,$E$57)*IF((U$68-$E$51)=1,$E$61,IF((U$68-$E$51)=2,$E$62,1))*(1+Supuestos!$B$5)^MAX(U$68-1,0),0)</f>
        <v/>
      </c>
      <c r="V82" s="14">
        <f>IF((V$68-$E$51)&gt;=1,CHOOSE(Supuestos!$B$3,$E$52,$E$53,$E$54)*12*CHOOSE(Supuestos!$B$3,$E$55,$E$56,$E$57)*IF((V$68-$E$51)=1,$E$61,IF((V$68-$E$51)=2,$E$62,1))*(1+Supuestos!$B$5)^MAX(V$68-1,0),0)</f>
        <v/>
      </c>
      <c r="W82" s="14">
        <f>IF((W$68-$E$51)&gt;=1,CHOOSE(Supuestos!$B$3,$E$52,$E$53,$E$54)*12*CHOOSE(Supuestos!$B$3,$E$55,$E$56,$E$57)*IF((W$68-$E$51)=1,$E$61,IF((W$68-$E$51)=2,$E$62,1))*(1+Supuestos!$B$5)^MAX(W$68-1,0),0)</f>
        <v/>
      </c>
    </row>
    <row r="83">
      <c r="A83" s="21" t="inlineStr">
        <is>
          <t xml:space="preserve">  Gastos - fase 3</t>
        </is>
      </c>
      <c r="C83" s="14">
        <f>IF((C$68-$E$51)&gt;=1,-$E$58*(1+Supuestos!$B$5)^MAX(C$68-1,0)-$E$59*C82,0)</f>
        <v/>
      </c>
      <c r="D83" s="14">
        <f>IF((D$68-$E$51)&gt;=1,-$E$58*(1+Supuestos!$B$5)^MAX(D$68-1,0)-$E$59*D82,0)</f>
        <v/>
      </c>
      <c r="E83" s="14">
        <f>IF((E$68-$E$51)&gt;=1,-$E$58*(1+Supuestos!$B$5)^MAX(E$68-1,0)-$E$59*E82,0)</f>
        <v/>
      </c>
      <c r="F83" s="14">
        <f>IF((F$68-$E$51)&gt;=1,-$E$58*(1+Supuestos!$B$5)^MAX(F$68-1,0)-$E$59*F82,0)</f>
        <v/>
      </c>
      <c r="G83" s="14">
        <f>IF((G$68-$E$51)&gt;=1,-$E$58*(1+Supuestos!$B$5)^MAX(G$68-1,0)-$E$59*G82,0)</f>
        <v/>
      </c>
      <c r="H83" s="14">
        <f>IF((H$68-$E$51)&gt;=1,-$E$58*(1+Supuestos!$B$5)^MAX(H$68-1,0)-$E$59*H82,0)</f>
        <v/>
      </c>
      <c r="I83" s="14">
        <f>IF((I$68-$E$51)&gt;=1,-$E$58*(1+Supuestos!$B$5)^MAX(I$68-1,0)-$E$59*I82,0)</f>
        <v/>
      </c>
      <c r="J83" s="14">
        <f>IF((J$68-$E$51)&gt;=1,-$E$58*(1+Supuestos!$B$5)^MAX(J$68-1,0)-$E$59*J82,0)</f>
        <v/>
      </c>
      <c r="K83" s="14">
        <f>IF((K$68-$E$51)&gt;=1,-$E$58*(1+Supuestos!$B$5)^MAX(K$68-1,0)-$E$59*K82,0)</f>
        <v/>
      </c>
      <c r="L83" s="14">
        <f>IF((L$68-$E$51)&gt;=1,-$E$58*(1+Supuestos!$B$5)^MAX(L$68-1,0)-$E$59*L82,0)</f>
        <v/>
      </c>
      <c r="M83" s="14">
        <f>IF((M$68-$E$51)&gt;=1,-$E$58*(1+Supuestos!$B$5)^MAX(M$68-1,0)-$E$59*M82,0)</f>
        <v/>
      </c>
      <c r="N83" s="14">
        <f>IF((N$68-$E$51)&gt;=1,-$E$58*(1+Supuestos!$B$5)^MAX(N$68-1,0)-$E$59*N82,0)</f>
        <v/>
      </c>
      <c r="O83" s="14">
        <f>IF((O$68-$E$51)&gt;=1,-$E$58*(1+Supuestos!$B$5)^MAX(O$68-1,0)-$E$59*O82,0)</f>
        <v/>
      </c>
      <c r="P83" s="14">
        <f>IF((P$68-$E$51)&gt;=1,-$E$58*(1+Supuestos!$B$5)^MAX(P$68-1,0)-$E$59*P82,0)</f>
        <v/>
      </c>
      <c r="Q83" s="14">
        <f>IF((Q$68-$E$51)&gt;=1,-$E$58*(1+Supuestos!$B$5)^MAX(Q$68-1,0)-$E$59*Q82,0)</f>
        <v/>
      </c>
      <c r="R83" s="14">
        <f>IF((R$68-$E$51)&gt;=1,-$E$58*(1+Supuestos!$B$5)^MAX(R$68-1,0)-$E$59*R82,0)</f>
        <v/>
      </c>
      <c r="S83" s="14">
        <f>IF((S$68-$E$51)&gt;=1,-$E$58*(1+Supuestos!$B$5)^MAX(S$68-1,0)-$E$59*S82,0)</f>
        <v/>
      </c>
      <c r="T83" s="14">
        <f>IF((T$68-$E$51)&gt;=1,-$E$58*(1+Supuestos!$B$5)^MAX(T$68-1,0)-$E$59*T82,0)</f>
        <v/>
      </c>
      <c r="U83" s="14">
        <f>IF((U$68-$E$51)&gt;=1,-$E$58*(1+Supuestos!$B$5)^MAX(U$68-1,0)-$E$59*U82,0)</f>
        <v/>
      </c>
      <c r="V83" s="14">
        <f>IF((V$68-$E$51)&gt;=1,-$E$58*(1+Supuestos!$B$5)^MAX(V$68-1,0)-$E$59*V82,0)</f>
        <v/>
      </c>
      <c r="W83" s="14">
        <f>IF((W$68-$E$51)&gt;=1,-$E$58*(1+Supuestos!$B$5)^MAX(W$68-1,0)-$E$59*W82,0)</f>
        <v/>
      </c>
    </row>
    <row r="84">
      <c r="A84" s="21" t="inlineStr">
        <is>
          <t xml:space="preserve">  Impuestos - fase 3</t>
        </is>
      </c>
      <c r="C84" s="14">
        <f>-$E$60*C82</f>
        <v/>
      </c>
      <c r="D84" s="14">
        <f>-$E$60*D82</f>
        <v/>
      </c>
      <c r="E84" s="14">
        <f>-$E$60*E82</f>
        <v/>
      </c>
      <c r="F84" s="14">
        <f>-$E$60*F82</f>
        <v/>
      </c>
      <c r="G84" s="14">
        <f>-$E$60*G82</f>
        <v/>
      </c>
      <c r="H84" s="14">
        <f>-$E$60*H82</f>
        <v/>
      </c>
      <c r="I84" s="14">
        <f>-$E$60*I82</f>
        <v/>
      </c>
      <c r="J84" s="14">
        <f>-$E$60*J82</f>
        <v/>
      </c>
      <c r="K84" s="14">
        <f>-$E$60*K82</f>
        <v/>
      </c>
      <c r="L84" s="14">
        <f>-$E$60*L82</f>
        <v/>
      </c>
      <c r="M84" s="14">
        <f>-$E$60*M82</f>
        <v/>
      </c>
      <c r="N84" s="14">
        <f>-$E$60*N82</f>
        <v/>
      </c>
      <c r="O84" s="14">
        <f>-$E$60*O82</f>
        <v/>
      </c>
      <c r="P84" s="14">
        <f>-$E$60*P82</f>
        <v/>
      </c>
      <c r="Q84" s="14">
        <f>-$E$60*Q82</f>
        <v/>
      </c>
      <c r="R84" s="14">
        <f>-$E$60*R82</f>
        <v/>
      </c>
      <c r="S84" s="14">
        <f>-$E$60*S82</f>
        <v/>
      </c>
      <c r="T84" s="14">
        <f>-$E$60*T82</f>
        <v/>
      </c>
      <c r="U84" s="14">
        <f>-$E$60*U82</f>
        <v/>
      </c>
      <c r="V84" s="14">
        <f>-$E$60*V82</f>
        <v/>
      </c>
      <c r="W84" s="14">
        <f>-$E$60*W82</f>
        <v/>
      </c>
    </row>
    <row r="85">
      <c r="A85" s="21" t="inlineStr">
        <is>
          <t xml:space="preserve">  Reposiciones - fase 3</t>
        </is>
      </c>
      <c r="C85" s="14">
        <f>IF((C$68-$E$51)=$E$64,-$E$65*(1+Supuestos!$B$5)^MAX(C$68-1,0)*Supuestos!$B$22,0)</f>
        <v/>
      </c>
      <c r="D85" s="14">
        <f>IF((D$68-$E$51)=$E$64,-$E$65*(1+Supuestos!$B$5)^MAX(D$68-1,0)*Supuestos!$B$22,0)</f>
        <v/>
      </c>
      <c r="E85" s="14">
        <f>IF((E$68-$E$51)=$E$64,-$E$65*(1+Supuestos!$B$5)^MAX(E$68-1,0)*Supuestos!$B$22,0)</f>
        <v/>
      </c>
      <c r="F85" s="14">
        <f>IF((F$68-$E$51)=$E$64,-$E$65*(1+Supuestos!$B$5)^MAX(F$68-1,0)*Supuestos!$B$22,0)</f>
        <v/>
      </c>
      <c r="G85" s="14">
        <f>IF((G$68-$E$51)=$E$64,-$E$65*(1+Supuestos!$B$5)^MAX(G$68-1,0)*Supuestos!$B$22,0)</f>
        <v/>
      </c>
      <c r="H85" s="14">
        <f>IF((H$68-$E$51)=$E$64,-$E$65*(1+Supuestos!$B$5)^MAX(H$68-1,0)*Supuestos!$B$22,0)</f>
        <v/>
      </c>
      <c r="I85" s="14">
        <f>IF((I$68-$E$51)=$E$64,-$E$65*(1+Supuestos!$B$5)^MAX(I$68-1,0)*Supuestos!$B$22,0)</f>
        <v/>
      </c>
      <c r="J85" s="14">
        <f>IF((J$68-$E$51)=$E$64,-$E$65*(1+Supuestos!$B$5)^MAX(J$68-1,0)*Supuestos!$B$22,0)</f>
        <v/>
      </c>
      <c r="K85" s="14">
        <f>IF((K$68-$E$51)=$E$64,-$E$65*(1+Supuestos!$B$5)^MAX(K$68-1,0)*Supuestos!$B$22,0)</f>
        <v/>
      </c>
      <c r="L85" s="14">
        <f>IF((L$68-$E$51)=$E$64,-$E$65*(1+Supuestos!$B$5)^MAX(L$68-1,0)*Supuestos!$B$22,0)</f>
        <v/>
      </c>
      <c r="M85" s="14">
        <f>IF((M$68-$E$51)=$E$64,-$E$65*(1+Supuestos!$B$5)^MAX(M$68-1,0)*Supuestos!$B$22,0)</f>
        <v/>
      </c>
      <c r="N85" s="14">
        <f>IF((N$68-$E$51)=$E$64,-$E$65*(1+Supuestos!$B$5)^MAX(N$68-1,0)*Supuestos!$B$22,0)</f>
        <v/>
      </c>
      <c r="O85" s="14">
        <f>IF((O$68-$E$51)=$E$64,-$E$65*(1+Supuestos!$B$5)^MAX(O$68-1,0)*Supuestos!$B$22,0)</f>
        <v/>
      </c>
      <c r="P85" s="14">
        <f>IF((P$68-$E$51)=$E$64,-$E$65*(1+Supuestos!$B$5)^MAX(P$68-1,0)*Supuestos!$B$22,0)</f>
        <v/>
      </c>
      <c r="Q85" s="14">
        <f>IF((Q$68-$E$51)=$E$64,-$E$65*(1+Supuestos!$B$5)^MAX(Q$68-1,0)*Supuestos!$B$22,0)</f>
        <v/>
      </c>
      <c r="R85" s="14">
        <f>IF((R$68-$E$51)=$E$64,-$E$65*(1+Supuestos!$B$5)^MAX(R$68-1,0)*Supuestos!$B$22,0)</f>
        <v/>
      </c>
      <c r="S85" s="14">
        <f>IF((S$68-$E$51)=$E$64,-$E$65*(1+Supuestos!$B$5)^MAX(S$68-1,0)*Supuestos!$B$22,0)</f>
        <v/>
      </c>
      <c r="T85" s="14">
        <f>IF((T$68-$E$51)=$E$64,-$E$65*(1+Supuestos!$B$5)^MAX(T$68-1,0)*Supuestos!$B$22,0)</f>
        <v/>
      </c>
      <c r="U85" s="14">
        <f>IF((U$68-$E$51)=$E$64,-$E$65*(1+Supuestos!$B$5)^MAX(U$68-1,0)*Supuestos!$B$22,0)</f>
        <v/>
      </c>
      <c r="V85" s="14">
        <f>IF((V$68-$E$51)=$E$64,-$E$65*(1+Supuestos!$B$5)^MAX(V$68-1,0)*Supuestos!$B$22,0)</f>
        <v/>
      </c>
      <c r="W85" s="14">
        <f>IF((W$68-$E$51)=$E$64,-$E$65*(1+Supuestos!$B$5)^MAX(W$68-1,0)*Supuestos!$B$22,0)</f>
        <v/>
      </c>
    </row>
    <row r="86">
      <c r="A86" s="21" t="inlineStr">
        <is>
          <t xml:space="preserve">  Valor residual (año 20) - fase 3</t>
        </is>
      </c>
      <c r="C86" s="14">
        <f>IF(AND(C$68=20,$E$63&gt;1),$E$50*(1+Supuestos!$B$5)^MAX($E$51-1,0)*MAX(0,1-(20-$E$51)/$E$63),0)</f>
        <v/>
      </c>
      <c r="D86" s="14">
        <f>IF(AND(D$68=20,$E$63&gt;1),$E$50*(1+Supuestos!$B$5)^MAX($E$51-1,0)*MAX(0,1-(20-$E$51)/$E$63),0)</f>
        <v/>
      </c>
      <c r="E86" s="14">
        <f>IF(AND(E$68=20,$E$63&gt;1),$E$50*(1+Supuestos!$B$5)^MAX($E$51-1,0)*MAX(0,1-(20-$E$51)/$E$63),0)</f>
        <v/>
      </c>
      <c r="F86" s="14">
        <f>IF(AND(F$68=20,$E$63&gt;1),$E$50*(1+Supuestos!$B$5)^MAX($E$51-1,0)*MAX(0,1-(20-$E$51)/$E$63),0)</f>
        <v/>
      </c>
      <c r="G86" s="14">
        <f>IF(AND(G$68=20,$E$63&gt;1),$E$50*(1+Supuestos!$B$5)^MAX($E$51-1,0)*MAX(0,1-(20-$E$51)/$E$63),0)</f>
        <v/>
      </c>
      <c r="H86" s="14">
        <f>IF(AND(H$68=20,$E$63&gt;1),$E$50*(1+Supuestos!$B$5)^MAX($E$51-1,0)*MAX(0,1-(20-$E$51)/$E$63),0)</f>
        <v/>
      </c>
      <c r="I86" s="14">
        <f>IF(AND(I$68=20,$E$63&gt;1),$E$50*(1+Supuestos!$B$5)^MAX($E$51-1,0)*MAX(0,1-(20-$E$51)/$E$63),0)</f>
        <v/>
      </c>
      <c r="J86" s="14">
        <f>IF(AND(J$68=20,$E$63&gt;1),$E$50*(1+Supuestos!$B$5)^MAX($E$51-1,0)*MAX(0,1-(20-$E$51)/$E$63),0)</f>
        <v/>
      </c>
      <c r="K86" s="14">
        <f>IF(AND(K$68=20,$E$63&gt;1),$E$50*(1+Supuestos!$B$5)^MAX($E$51-1,0)*MAX(0,1-(20-$E$51)/$E$63),0)</f>
        <v/>
      </c>
      <c r="L86" s="14">
        <f>IF(AND(L$68=20,$E$63&gt;1),$E$50*(1+Supuestos!$B$5)^MAX($E$51-1,0)*MAX(0,1-(20-$E$51)/$E$63),0)</f>
        <v/>
      </c>
      <c r="M86" s="14">
        <f>IF(AND(M$68=20,$E$63&gt;1),$E$50*(1+Supuestos!$B$5)^MAX($E$51-1,0)*MAX(0,1-(20-$E$51)/$E$63),0)</f>
        <v/>
      </c>
      <c r="N86" s="14">
        <f>IF(AND(N$68=20,$E$63&gt;1),$E$50*(1+Supuestos!$B$5)^MAX($E$51-1,0)*MAX(0,1-(20-$E$51)/$E$63),0)</f>
        <v/>
      </c>
      <c r="O86" s="14">
        <f>IF(AND(O$68=20,$E$63&gt;1),$E$50*(1+Supuestos!$B$5)^MAX($E$51-1,0)*MAX(0,1-(20-$E$51)/$E$63),0)</f>
        <v/>
      </c>
      <c r="P86" s="14">
        <f>IF(AND(P$68=20,$E$63&gt;1),$E$50*(1+Supuestos!$B$5)^MAX($E$51-1,0)*MAX(0,1-(20-$E$51)/$E$63),0)</f>
        <v/>
      </c>
      <c r="Q86" s="14">
        <f>IF(AND(Q$68=20,$E$63&gt;1),$E$50*(1+Supuestos!$B$5)^MAX($E$51-1,0)*MAX(0,1-(20-$E$51)/$E$63),0)</f>
        <v/>
      </c>
      <c r="R86" s="14">
        <f>IF(AND(R$68=20,$E$63&gt;1),$E$50*(1+Supuestos!$B$5)^MAX($E$51-1,0)*MAX(0,1-(20-$E$51)/$E$63),0)</f>
        <v/>
      </c>
      <c r="S86" s="14">
        <f>IF(AND(S$68=20,$E$63&gt;1),$E$50*(1+Supuestos!$B$5)^MAX($E$51-1,0)*MAX(0,1-(20-$E$51)/$E$63),0)</f>
        <v/>
      </c>
      <c r="T86" s="14">
        <f>IF(AND(T$68=20,$E$63&gt;1),$E$50*(1+Supuestos!$B$5)^MAX($E$51-1,0)*MAX(0,1-(20-$E$51)/$E$63),0)</f>
        <v/>
      </c>
      <c r="U86" s="14">
        <f>IF(AND(U$68=20,$E$63&gt;1),$E$50*(1+Supuestos!$B$5)^MAX($E$51-1,0)*MAX(0,1-(20-$E$51)/$E$63),0)</f>
        <v/>
      </c>
      <c r="V86" s="14">
        <f>IF(AND(V$68=20,$E$63&gt;1),$E$50*(1+Supuestos!$B$5)^MAX($E$51-1,0)*MAX(0,1-(20-$E$51)/$E$63),0)</f>
        <v/>
      </c>
      <c r="W86" s="14">
        <f>IF(AND(W$68=20,$E$63&gt;1),$E$50*(1+Supuestos!$B$5)^MAX($E$51-1,0)*MAX(0,1-(20-$E$51)/$E$63),0)</f>
        <v/>
      </c>
    </row>
    <row r="87">
      <c r="A87" s="7" t="inlineStr">
        <is>
          <t>Inversión</t>
        </is>
      </c>
      <c r="C87" s="22">
        <f>C69+C75+C81</f>
        <v/>
      </c>
      <c r="D87" s="22">
        <f>D69+D75+D81</f>
        <v/>
      </c>
      <c r="E87" s="22">
        <f>E69+E75+E81</f>
        <v/>
      </c>
      <c r="F87" s="22">
        <f>F69+F75+F81</f>
        <v/>
      </c>
      <c r="G87" s="22">
        <f>G69+G75+G81</f>
        <v/>
      </c>
      <c r="H87" s="22">
        <f>H69+H75+H81</f>
        <v/>
      </c>
      <c r="I87" s="22">
        <f>I69+I75+I81</f>
        <v/>
      </c>
      <c r="J87" s="22">
        <f>J69+J75+J81</f>
        <v/>
      </c>
      <c r="K87" s="22">
        <f>K69+K75+K81</f>
        <v/>
      </c>
      <c r="L87" s="22">
        <f>L69+L75+L81</f>
        <v/>
      </c>
      <c r="M87" s="22">
        <f>M69+M75+M81</f>
        <v/>
      </c>
      <c r="N87" s="22">
        <f>N69+N75+N81</f>
        <v/>
      </c>
      <c r="O87" s="22">
        <f>O69+O75+O81</f>
        <v/>
      </c>
      <c r="P87" s="22">
        <f>P69+P75+P81</f>
        <v/>
      </c>
      <c r="Q87" s="22">
        <f>Q69+Q75+Q81</f>
        <v/>
      </c>
      <c r="R87" s="22">
        <f>R69+R75+R81</f>
        <v/>
      </c>
      <c r="S87" s="22">
        <f>S69+S75+S81</f>
        <v/>
      </c>
      <c r="T87" s="22">
        <f>T69+T75+T81</f>
        <v/>
      </c>
      <c r="U87" s="22">
        <f>U69+U75+U81</f>
        <v/>
      </c>
      <c r="V87" s="22">
        <f>V69+V75+V81</f>
        <v/>
      </c>
      <c r="W87" s="22">
        <f>W69+W75+W81</f>
        <v/>
      </c>
    </row>
    <row r="88">
      <c r="A88" s="7" t="inlineStr">
        <is>
          <t>Ingresos cobrados</t>
        </is>
      </c>
      <c r="C88" s="22">
        <f>C70+C76+C82</f>
        <v/>
      </c>
      <c r="D88" s="22">
        <f>D70+D76+D82</f>
        <v/>
      </c>
      <c r="E88" s="22">
        <f>E70+E76+E82</f>
        <v/>
      </c>
      <c r="F88" s="22">
        <f>F70+F76+F82</f>
        <v/>
      </c>
      <c r="G88" s="22">
        <f>G70+G76+G82</f>
        <v/>
      </c>
      <c r="H88" s="22">
        <f>H70+H76+H82</f>
        <v/>
      </c>
      <c r="I88" s="22">
        <f>I70+I76+I82</f>
        <v/>
      </c>
      <c r="J88" s="22">
        <f>J70+J76+J82</f>
        <v/>
      </c>
      <c r="K88" s="22">
        <f>K70+K76+K82</f>
        <v/>
      </c>
      <c r="L88" s="22">
        <f>L70+L76+L82</f>
        <v/>
      </c>
      <c r="M88" s="22">
        <f>M70+M76+M82</f>
        <v/>
      </c>
      <c r="N88" s="22">
        <f>N70+N76+N82</f>
        <v/>
      </c>
      <c r="O88" s="22">
        <f>O70+O76+O82</f>
        <v/>
      </c>
      <c r="P88" s="22">
        <f>P70+P76+P82</f>
        <v/>
      </c>
      <c r="Q88" s="22">
        <f>Q70+Q76+Q82</f>
        <v/>
      </c>
      <c r="R88" s="22">
        <f>R70+R76+R82</f>
        <v/>
      </c>
      <c r="S88" s="22">
        <f>S70+S76+S82</f>
        <v/>
      </c>
      <c r="T88" s="22">
        <f>T70+T76+T82</f>
        <v/>
      </c>
      <c r="U88" s="22">
        <f>U70+U76+U82</f>
        <v/>
      </c>
      <c r="V88" s="22">
        <f>V70+V76+V82</f>
        <v/>
      </c>
      <c r="W88" s="22">
        <f>W70+W76+W82</f>
        <v/>
      </c>
    </row>
    <row r="89">
      <c r="A89" s="7" t="inlineStr">
        <is>
          <t>Gastos</t>
        </is>
      </c>
      <c r="C89" s="22">
        <f>C71+C77+C83</f>
        <v/>
      </c>
      <c r="D89" s="22">
        <f>D71+D77+D83</f>
        <v/>
      </c>
      <c r="E89" s="22">
        <f>E71+E77+E83</f>
        <v/>
      </c>
      <c r="F89" s="22">
        <f>F71+F77+F83</f>
        <v/>
      </c>
      <c r="G89" s="22">
        <f>G71+G77+G83</f>
        <v/>
      </c>
      <c r="H89" s="22">
        <f>H71+H77+H83</f>
        <v/>
      </c>
      <c r="I89" s="22">
        <f>I71+I77+I83</f>
        <v/>
      </c>
      <c r="J89" s="22">
        <f>J71+J77+J83</f>
        <v/>
      </c>
      <c r="K89" s="22">
        <f>K71+K77+K83</f>
        <v/>
      </c>
      <c r="L89" s="22">
        <f>L71+L77+L83</f>
        <v/>
      </c>
      <c r="M89" s="22">
        <f>M71+M77+M83</f>
        <v/>
      </c>
      <c r="N89" s="22">
        <f>N71+N77+N83</f>
        <v/>
      </c>
      <c r="O89" s="22">
        <f>O71+O77+O83</f>
        <v/>
      </c>
      <c r="P89" s="22">
        <f>P71+P77+P83</f>
        <v/>
      </c>
      <c r="Q89" s="22">
        <f>Q71+Q77+Q83</f>
        <v/>
      </c>
      <c r="R89" s="22">
        <f>R71+R77+R83</f>
        <v/>
      </c>
      <c r="S89" s="22">
        <f>S71+S77+S83</f>
        <v/>
      </c>
      <c r="T89" s="22">
        <f>T71+T77+T83</f>
        <v/>
      </c>
      <c r="U89" s="22">
        <f>U71+U77+U83</f>
        <v/>
      </c>
      <c r="V89" s="22">
        <f>V71+V77+V83</f>
        <v/>
      </c>
      <c r="W89" s="22">
        <f>W71+W77+W83</f>
        <v/>
      </c>
    </row>
    <row r="90">
      <c r="A90" s="7" t="inlineStr">
        <is>
          <t>Impuestos</t>
        </is>
      </c>
      <c r="C90" s="22">
        <f>C72+C78+C84</f>
        <v/>
      </c>
      <c r="D90" s="22">
        <f>D72+D78+D84</f>
        <v/>
      </c>
      <c r="E90" s="22">
        <f>E72+E78+E84</f>
        <v/>
      </c>
      <c r="F90" s="22">
        <f>F72+F78+F84</f>
        <v/>
      </c>
      <c r="G90" s="22">
        <f>G72+G78+G84</f>
        <v/>
      </c>
      <c r="H90" s="22">
        <f>H72+H78+H84</f>
        <v/>
      </c>
      <c r="I90" s="22">
        <f>I72+I78+I84</f>
        <v/>
      </c>
      <c r="J90" s="22">
        <f>J72+J78+J84</f>
        <v/>
      </c>
      <c r="K90" s="22">
        <f>K72+K78+K84</f>
        <v/>
      </c>
      <c r="L90" s="22">
        <f>L72+L78+L84</f>
        <v/>
      </c>
      <c r="M90" s="22">
        <f>M72+M78+M84</f>
        <v/>
      </c>
      <c r="N90" s="22">
        <f>N72+N78+N84</f>
        <v/>
      </c>
      <c r="O90" s="22">
        <f>O72+O78+O84</f>
        <v/>
      </c>
      <c r="P90" s="22">
        <f>P72+P78+P84</f>
        <v/>
      </c>
      <c r="Q90" s="22">
        <f>Q72+Q78+Q84</f>
        <v/>
      </c>
      <c r="R90" s="22">
        <f>R72+R78+R84</f>
        <v/>
      </c>
      <c r="S90" s="22">
        <f>S72+S78+S84</f>
        <v/>
      </c>
      <c r="T90" s="22">
        <f>T72+T78+T84</f>
        <v/>
      </c>
      <c r="U90" s="22">
        <f>U72+U78+U84</f>
        <v/>
      </c>
      <c r="V90" s="22">
        <f>V72+V78+V84</f>
        <v/>
      </c>
      <c r="W90" s="22">
        <f>W72+W78+W84</f>
        <v/>
      </c>
    </row>
    <row r="91">
      <c r="A91" s="7" t="inlineStr">
        <is>
          <t>Reposiciones</t>
        </is>
      </c>
      <c r="C91" s="22">
        <f>C73+C79+C85</f>
        <v/>
      </c>
      <c r="D91" s="22">
        <f>D73+D79+D85</f>
        <v/>
      </c>
      <c r="E91" s="22">
        <f>E73+E79+E85</f>
        <v/>
      </c>
      <c r="F91" s="22">
        <f>F73+F79+F85</f>
        <v/>
      </c>
      <c r="G91" s="22">
        <f>G73+G79+G85</f>
        <v/>
      </c>
      <c r="H91" s="22">
        <f>H73+H79+H85</f>
        <v/>
      </c>
      <c r="I91" s="22">
        <f>I73+I79+I85</f>
        <v/>
      </c>
      <c r="J91" s="22">
        <f>J73+J79+J85</f>
        <v/>
      </c>
      <c r="K91" s="22">
        <f>K73+K79+K85</f>
        <v/>
      </c>
      <c r="L91" s="22">
        <f>L73+L79+L85</f>
        <v/>
      </c>
      <c r="M91" s="22">
        <f>M73+M79+M85</f>
        <v/>
      </c>
      <c r="N91" s="22">
        <f>N73+N79+N85</f>
        <v/>
      </c>
      <c r="O91" s="22">
        <f>O73+O79+O85</f>
        <v/>
      </c>
      <c r="P91" s="22">
        <f>P73+P79+P85</f>
        <v/>
      </c>
      <c r="Q91" s="22">
        <f>Q73+Q79+Q85</f>
        <v/>
      </c>
      <c r="R91" s="22">
        <f>R73+R79+R85</f>
        <v/>
      </c>
      <c r="S91" s="22">
        <f>S73+S79+S85</f>
        <v/>
      </c>
      <c r="T91" s="22">
        <f>T73+T79+T85</f>
        <v/>
      </c>
      <c r="U91" s="22">
        <f>U73+U79+U85</f>
        <v/>
      </c>
      <c r="V91" s="22">
        <f>V73+V79+V85</f>
        <v/>
      </c>
      <c r="W91" s="22">
        <f>W73+W79+W85</f>
        <v/>
      </c>
    </row>
    <row r="92">
      <c r="A92" s="7" t="inlineStr">
        <is>
          <t>Valor residual (año 20)</t>
        </is>
      </c>
      <c r="C92" s="22">
        <f>C74+C80+C86</f>
        <v/>
      </c>
      <c r="D92" s="22">
        <f>D74+D80+D86</f>
        <v/>
      </c>
      <c r="E92" s="22">
        <f>E74+E80+E86</f>
        <v/>
      </c>
      <c r="F92" s="22">
        <f>F74+F80+F86</f>
        <v/>
      </c>
      <c r="G92" s="22">
        <f>G74+G80+G86</f>
        <v/>
      </c>
      <c r="H92" s="22">
        <f>H74+H80+H86</f>
        <v/>
      </c>
      <c r="I92" s="22">
        <f>I74+I80+I86</f>
        <v/>
      </c>
      <c r="J92" s="22">
        <f>J74+J80+J86</f>
        <v/>
      </c>
      <c r="K92" s="22">
        <f>K74+K80+K86</f>
        <v/>
      </c>
      <c r="L92" s="22">
        <f>L74+L80+L86</f>
        <v/>
      </c>
      <c r="M92" s="22">
        <f>M74+M80+M86</f>
        <v/>
      </c>
      <c r="N92" s="22">
        <f>N74+N80+N86</f>
        <v/>
      </c>
      <c r="O92" s="22">
        <f>O74+O80+O86</f>
        <v/>
      </c>
      <c r="P92" s="22">
        <f>P74+P80+P86</f>
        <v/>
      </c>
      <c r="Q92" s="22">
        <f>Q74+Q80+Q86</f>
        <v/>
      </c>
      <c r="R92" s="22">
        <f>R74+R80+R86</f>
        <v/>
      </c>
      <c r="S92" s="22">
        <f>S74+S80+S86</f>
        <v/>
      </c>
      <c r="T92" s="22">
        <f>T74+T80+T86</f>
        <v/>
      </c>
      <c r="U92" s="22">
        <f>U74+U80+U86</f>
        <v/>
      </c>
      <c r="V92" s="22">
        <f>V74+V80+V86</f>
        <v/>
      </c>
      <c r="W92" s="22">
        <f>W74+W80+W86</f>
        <v/>
      </c>
    </row>
    <row r="93">
      <c r="A93" s="7" t="inlineStr">
        <is>
          <t>FLUJO NETO</t>
        </is>
      </c>
      <c r="C93" s="8">
        <f>C87+C88+C89+C90+C91+C92</f>
        <v/>
      </c>
      <c r="D93" s="8">
        <f>D87+D88+D89+D90+D91+D92</f>
        <v/>
      </c>
      <c r="E93" s="8">
        <f>E87+E88+E89+E90+E91+E92</f>
        <v/>
      </c>
      <c r="F93" s="8">
        <f>F87+F88+F89+F90+F91+F92</f>
        <v/>
      </c>
      <c r="G93" s="8">
        <f>G87+G88+G89+G90+G91+G92</f>
        <v/>
      </c>
      <c r="H93" s="8">
        <f>H87+H88+H89+H90+H91+H92</f>
        <v/>
      </c>
      <c r="I93" s="8">
        <f>I87+I88+I89+I90+I91+I92</f>
        <v/>
      </c>
      <c r="J93" s="8">
        <f>J87+J88+J89+J90+J91+J92</f>
        <v/>
      </c>
      <c r="K93" s="8">
        <f>K87+K88+K89+K90+K91+K92</f>
        <v/>
      </c>
      <c r="L93" s="8">
        <f>L87+L88+L89+L90+L91+L92</f>
        <v/>
      </c>
      <c r="M93" s="8">
        <f>M87+M88+M89+M90+M91+M92</f>
        <v/>
      </c>
      <c r="N93" s="8">
        <f>N87+N88+N89+N90+N91+N92</f>
        <v/>
      </c>
      <c r="O93" s="8">
        <f>O87+O88+O89+O90+O91+O92</f>
        <v/>
      </c>
      <c r="P93" s="8">
        <f>P87+P88+P89+P90+P91+P92</f>
        <v/>
      </c>
      <c r="Q93" s="8">
        <f>Q87+Q88+Q89+Q90+Q91+Q92</f>
        <v/>
      </c>
      <c r="R93" s="8">
        <f>R87+R88+R89+R90+R91+R92</f>
        <v/>
      </c>
      <c r="S93" s="8">
        <f>S87+S88+S89+S90+S91+S92</f>
        <v/>
      </c>
      <c r="T93" s="8">
        <f>T87+T88+T89+T90+T91+T92</f>
        <v/>
      </c>
      <c r="U93" s="8">
        <f>U87+U88+U89+U90+U91+U92</f>
        <v/>
      </c>
      <c r="V93" s="8">
        <f>V87+V88+V89+V90+V91+V92</f>
        <v/>
      </c>
      <c r="W93" s="8">
        <f>W87+W88+W89+W90+W91+W92</f>
        <v/>
      </c>
    </row>
    <row r="94">
      <c r="A94" s="7" t="inlineStr">
        <is>
          <t>Caja acumulada (sin valor residual)</t>
        </is>
      </c>
      <c r="C94" s="14">
        <f>C93-C92</f>
        <v/>
      </c>
      <c r="D94" s="14">
        <f>C94+D93-D92</f>
        <v/>
      </c>
      <c r="E94" s="14">
        <f>D94+E93-E92</f>
        <v/>
      </c>
      <c r="F94" s="14">
        <f>E94+F93-F92</f>
        <v/>
      </c>
      <c r="G94" s="14">
        <f>F94+G93-G92</f>
        <v/>
      </c>
      <c r="H94" s="14">
        <f>G94+H93-H92</f>
        <v/>
      </c>
      <c r="I94" s="14">
        <f>H94+I93-I92</f>
        <v/>
      </c>
      <c r="J94" s="14">
        <f>I94+J93-J92</f>
        <v/>
      </c>
      <c r="K94" s="14">
        <f>J94+K93-K92</f>
        <v/>
      </c>
      <c r="L94" s="14">
        <f>K94+L93-L92</f>
        <v/>
      </c>
      <c r="M94" s="14">
        <f>L94+M93-M92</f>
        <v/>
      </c>
      <c r="N94" s="14">
        <f>M94+N93-N92</f>
        <v/>
      </c>
      <c r="O94" s="14">
        <f>N94+O93-O92</f>
        <v/>
      </c>
      <c r="P94" s="14">
        <f>O94+P93-P92</f>
        <v/>
      </c>
      <c r="Q94" s="14">
        <f>P94+Q93-Q92</f>
        <v/>
      </c>
      <c r="R94" s="14">
        <f>Q94+R93-R92</f>
        <v/>
      </c>
      <c r="S94" s="14">
        <f>R94+S93-S92</f>
        <v/>
      </c>
      <c r="T94" s="14">
        <f>S94+T93-T92</f>
        <v/>
      </c>
      <c r="U94" s="14">
        <f>T94+U93-U92</f>
        <v/>
      </c>
      <c r="V94" s="14">
        <f>U94+V93-V92</f>
        <v/>
      </c>
      <c r="W94" s="14">
        <f>V94+W93-W92</f>
        <v/>
      </c>
    </row>
    <row r="95">
      <c r="A95" s="7" t="inlineStr">
        <is>
          <t>Flujo del propietario contando el terreno (lo aporta hoy y lo recupera valorizado)</t>
        </is>
      </c>
      <c r="C95" s="14">
        <f>C93-Supuestos!$B$21</f>
        <v/>
      </c>
      <c r="D95" s="14">
        <f>D93</f>
        <v/>
      </c>
      <c r="E95" s="14">
        <f>E93</f>
        <v/>
      </c>
      <c r="F95" s="14">
        <f>F93</f>
        <v/>
      </c>
      <c r="G95" s="14">
        <f>G93</f>
        <v/>
      </c>
      <c r="H95" s="14">
        <f>H93</f>
        <v/>
      </c>
      <c r="I95" s="14">
        <f>I93</f>
        <v/>
      </c>
      <c r="J95" s="14">
        <f>J93</f>
        <v/>
      </c>
      <c r="K95" s="14">
        <f>K93</f>
        <v/>
      </c>
      <c r="L95" s="14">
        <f>L93</f>
        <v/>
      </c>
      <c r="M95" s="14">
        <f>M93</f>
        <v/>
      </c>
      <c r="N95" s="14">
        <f>N93</f>
        <v/>
      </c>
      <c r="O95" s="14">
        <f>O93</f>
        <v/>
      </c>
      <c r="P95" s="14">
        <f>P93</f>
        <v/>
      </c>
      <c r="Q95" s="14">
        <f>Q93</f>
        <v/>
      </c>
      <c r="R95" s="14">
        <f>R93</f>
        <v/>
      </c>
      <c r="S95" s="14">
        <f>S93</f>
        <v/>
      </c>
      <c r="T95" s="14">
        <f>T93</f>
        <v/>
      </c>
      <c r="U95" s="14">
        <f>U93</f>
        <v/>
      </c>
      <c r="V95" s="14">
        <f>V93</f>
        <v/>
      </c>
      <c r="W95" s="14">
        <f>W93+Supuestos!$B$21*(1+Supuestos!$B$23)^20</f>
        <v/>
      </c>
    </row>
    <row r="97">
      <c r="A97" s="7" t="inlineStr">
        <is>
          <t>Inversión total</t>
        </is>
      </c>
      <c r="C97" s="8">
        <f>-SUM(C87:W87)</f>
        <v/>
      </c>
    </row>
    <row r="98">
      <c r="A98" s="7" t="inlineStr">
        <is>
          <t>VAN al 10%</t>
        </is>
      </c>
      <c r="C98" s="8">
        <f>C93+NPV(Supuestos!$B$4,D93:W93)</f>
        <v/>
      </c>
    </row>
    <row r="99">
      <c r="A99" s="7" t="inlineStr">
        <is>
          <t>TIR</t>
        </is>
      </c>
      <c r="C99" s="23">
        <f>IFERROR(IRR(C93:W93),IFERROR(IRR(C93:W93,-0.05),"no aplica"))</f>
        <v/>
      </c>
    </row>
    <row r="100">
      <c r="A100" s="7" t="inlineStr">
        <is>
          <t>Año en que se recupera la inversión (acumulado ≥ 0)</t>
        </is>
      </c>
      <c r="C100" s="24">
        <f>IF(-SUM(C87:W87)=0,"sin inversión",IFERROR(INDEX(C68:W68,MATCH(TRUE,INDEX(C94:W94&gt;=0,0),0)),"no en 20 años"))</f>
        <v/>
      </c>
    </row>
    <row r="101">
      <c r="A101" s="7" t="inlineStr">
        <is>
          <t>Caja neta del año 5 sin inversiones (S/ nominales)</t>
        </is>
      </c>
      <c r="C101" s="8">
        <f>H93-H87</f>
        <v/>
      </c>
    </row>
    <row r="102">
      <c r="A102" s="7" t="inlineStr">
        <is>
          <t>TIR contando el terreno</t>
        </is>
      </c>
      <c r="C102" s="23">
        <f>IFERROR(IRR(C95:W95),"no aplica")</f>
        <v/>
      </c>
    </row>
  </sheetData>
  <mergeCells count="1">
    <mergeCell ref="A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A. Estacionamiento techado (anteproyecto actual)</t>
        </is>
      </c>
    </row>
    <row r="2" ht="30" customHeight="1">
      <c r="A2" s="17" t="inlineStr">
        <is>
          <t>28 plazas techadas con estructura metálica, 5 motos y 2 mototaxis; guardián contratado.</t>
        </is>
      </c>
    </row>
    <row r="4">
      <c r="A4" s="18" t="inlineStr">
        <is>
          <t>Fase 1: Estacionamiento techado</t>
        </is>
      </c>
    </row>
    <row r="5">
      <c r="D5" t="inlineStr">
        <is>
          <t>Inversión (calculada en su propio modelo, por factor de escenario)</t>
        </is>
      </c>
      <c r="E5" s="8">
        <f>308524.26*Supuestos!$B$22</f>
        <v/>
      </c>
    </row>
    <row r="6">
      <c r="D6" t="inlineStr">
        <is>
          <t>Año de inversión (opera desde el año siguiente)</t>
        </is>
      </c>
      <c r="E6" s="19" t="n">
        <v>0</v>
      </c>
    </row>
    <row r="7">
      <c r="D7" t="inlineStr">
        <is>
          <t>Ingreso bruto potencial S/ por mes - pesimista</t>
        </is>
      </c>
      <c r="E7" s="6" t="n">
        <v>1890</v>
      </c>
    </row>
    <row r="8">
      <c r="D8" t="inlineStr">
        <is>
          <t>Ingreso bruto potencial S/ por mes - base</t>
        </is>
      </c>
      <c r="E8" s="6" t="n">
        <v>2855</v>
      </c>
    </row>
    <row r="9">
      <c r="D9" t="inlineStr">
        <is>
          <t>Ingreso bruto potencial S/ por mes - optimista</t>
        </is>
      </c>
      <c r="E9" s="6" t="n">
        <v>4330</v>
      </c>
    </row>
    <row r="10">
      <c r="D10" t="inlineStr">
        <is>
          <t>Ocupación cobrada - pesimista</t>
        </is>
      </c>
      <c r="E10" s="3" t="n">
        <v>1</v>
      </c>
    </row>
    <row r="11">
      <c r="D11" t="inlineStr">
        <is>
          <t>Ocupación cobrada - base</t>
        </is>
      </c>
      <c r="E11" s="3" t="n">
        <v>1</v>
      </c>
    </row>
    <row r="12">
      <c r="D12" t="inlineStr">
        <is>
          <t>Ocupación cobrada - optimista</t>
        </is>
      </c>
      <c r="E12" s="3" t="n">
        <v>1</v>
      </c>
    </row>
    <row r="13">
      <c r="D13" t="inlineStr">
        <is>
          <t>Gastos fijos S/ por año (personal, energía, mantenimiento, seguro, predial)</t>
        </is>
      </c>
      <c r="E13" s="6" t="n">
        <v>27005.809582</v>
      </c>
    </row>
    <row r="14">
      <c r="D14" t="inlineStr">
        <is>
          <t>Gastos variables (% del ingreso cobrado)</t>
        </is>
      </c>
      <c r="E14" s="3" t="n">
        <v>0</v>
      </c>
    </row>
    <row r="15">
      <c r="D15" t="inlineStr">
        <is>
          <t>Impuestos (% del ingreso cobrado)</t>
        </is>
      </c>
      <c r="E15" s="3" t="n">
        <v>0</v>
      </c>
    </row>
    <row r="16">
      <c r="D16" t="inlineStr">
        <is>
          <t>Ingreso relativo 1.er año de operación</t>
        </is>
      </c>
      <c r="E16" s="3" t="n">
        <v>0.6</v>
      </c>
    </row>
    <row r="17">
      <c r="D17" t="inlineStr">
        <is>
          <t>Ingreso relativo 2.º año de operación</t>
        </is>
      </c>
      <c r="E17" s="3" t="n">
        <v>0.85</v>
      </c>
    </row>
    <row r="18">
      <c r="D18" t="inlineStr">
        <is>
          <t>Vida útil para valor residual (años)</t>
        </is>
      </c>
      <c r="E18" s="19" t="n">
        <v>30</v>
      </c>
    </row>
    <row r="19">
      <c r="D19" t="inlineStr">
        <is>
          <t>Reposición 1: años después de invertir</t>
        </is>
      </c>
      <c r="E19" s="19" t="n">
        <v>10</v>
      </c>
    </row>
    <row r="20">
      <c r="D20" t="inlineStr">
        <is>
          <t>Reposición 1: monto a precios de hoy</t>
        </is>
      </c>
      <c r="E20" s="6" t="n">
        <v>18511.4556</v>
      </c>
    </row>
    <row r="22">
      <c r="A22" s="7" t="inlineStr">
        <is>
          <t>FLUJO DE CAJA (S/ nominales)</t>
        </is>
      </c>
    </row>
    <row r="23">
      <c r="A23" s="20" t="inlineStr">
        <is>
          <t>Concepto / año</t>
        </is>
      </c>
      <c r="C23" s="20" t="n">
        <v>0</v>
      </c>
      <c r="D23" s="20" t="n">
        <v>1</v>
      </c>
      <c r="E23" s="20" t="n">
        <v>2</v>
      </c>
      <c r="F23" s="20" t="n">
        <v>3</v>
      </c>
      <c r="G23" s="20" t="n">
        <v>4</v>
      </c>
      <c r="H23" s="20" t="n">
        <v>5</v>
      </c>
      <c r="I23" s="20" t="n">
        <v>6</v>
      </c>
      <c r="J23" s="20" t="n">
        <v>7</v>
      </c>
      <c r="K23" s="20" t="n">
        <v>8</v>
      </c>
      <c r="L23" s="20" t="n">
        <v>9</v>
      </c>
      <c r="M23" s="20" t="n">
        <v>10</v>
      </c>
      <c r="N23" s="20" t="n">
        <v>11</v>
      </c>
      <c r="O23" s="20" t="n">
        <v>12</v>
      </c>
      <c r="P23" s="20" t="n">
        <v>13</v>
      </c>
      <c r="Q23" s="20" t="n">
        <v>14</v>
      </c>
      <c r="R23" s="20" t="n">
        <v>15</v>
      </c>
      <c r="S23" s="20" t="n">
        <v>16</v>
      </c>
      <c r="T23" s="20" t="n">
        <v>17</v>
      </c>
      <c r="U23" s="20" t="n">
        <v>18</v>
      </c>
      <c r="V23" s="20" t="n">
        <v>19</v>
      </c>
      <c r="W23" s="20" t="n">
        <v>20</v>
      </c>
    </row>
    <row r="24">
      <c r="A24" s="21" t="inlineStr">
        <is>
          <t xml:space="preserve">  Inversión - fase 1</t>
        </is>
      </c>
      <c r="C24" s="14">
        <f>IF(C$23=$E$6,-$E$5*(1+Supuestos!$B$5)^MAX($E$6-1,0),0)</f>
        <v/>
      </c>
      <c r="D24" s="14">
        <f>IF(D$23=$E$6,-$E$5*(1+Supuestos!$B$5)^MAX($E$6-1,0),0)</f>
        <v/>
      </c>
      <c r="E24" s="14">
        <f>IF(E$23=$E$6,-$E$5*(1+Supuestos!$B$5)^MAX($E$6-1,0),0)</f>
        <v/>
      </c>
      <c r="F24" s="14">
        <f>IF(F$23=$E$6,-$E$5*(1+Supuestos!$B$5)^MAX($E$6-1,0),0)</f>
        <v/>
      </c>
      <c r="G24" s="14">
        <f>IF(G$23=$E$6,-$E$5*(1+Supuestos!$B$5)^MAX($E$6-1,0),0)</f>
        <v/>
      </c>
      <c r="H24" s="14">
        <f>IF(H$23=$E$6,-$E$5*(1+Supuestos!$B$5)^MAX($E$6-1,0),0)</f>
        <v/>
      </c>
      <c r="I24" s="14">
        <f>IF(I$23=$E$6,-$E$5*(1+Supuestos!$B$5)^MAX($E$6-1,0),0)</f>
        <v/>
      </c>
      <c r="J24" s="14">
        <f>IF(J$23=$E$6,-$E$5*(1+Supuestos!$B$5)^MAX($E$6-1,0),0)</f>
        <v/>
      </c>
      <c r="K24" s="14">
        <f>IF(K$23=$E$6,-$E$5*(1+Supuestos!$B$5)^MAX($E$6-1,0),0)</f>
        <v/>
      </c>
      <c r="L24" s="14">
        <f>IF(L$23=$E$6,-$E$5*(1+Supuestos!$B$5)^MAX($E$6-1,0),0)</f>
        <v/>
      </c>
      <c r="M24" s="14">
        <f>IF(M$23=$E$6,-$E$5*(1+Supuestos!$B$5)^MAX($E$6-1,0),0)</f>
        <v/>
      </c>
      <c r="N24" s="14">
        <f>IF(N$23=$E$6,-$E$5*(1+Supuestos!$B$5)^MAX($E$6-1,0),0)</f>
        <v/>
      </c>
      <c r="O24" s="14">
        <f>IF(O$23=$E$6,-$E$5*(1+Supuestos!$B$5)^MAX($E$6-1,0),0)</f>
        <v/>
      </c>
      <c r="P24" s="14">
        <f>IF(P$23=$E$6,-$E$5*(1+Supuestos!$B$5)^MAX($E$6-1,0),0)</f>
        <v/>
      </c>
      <c r="Q24" s="14">
        <f>IF(Q$23=$E$6,-$E$5*(1+Supuestos!$B$5)^MAX($E$6-1,0),0)</f>
        <v/>
      </c>
      <c r="R24" s="14">
        <f>IF(R$23=$E$6,-$E$5*(1+Supuestos!$B$5)^MAX($E$6-1,0),0)</f>
        <v/>
      </c>
      <c r="S24" s="14">
        <f>IF(S$23=$E$6,-$E$5*(1+Supuestos!$B$5)^MAX($E$6-1,0),0)</f>
        <v/>
      </c>
      <c r="T24" s="14">
        <f>IF(T$23=$E$6,-$E$5*(1+Supuestos!$B$5)^MAX($E$6-1,0),0)</f>
        <v/>
      </c>
      <c r="U24" s="14">
        <f>IF(U$23=$E$6,-$E$5*(1+Supuestos!$B$5)^MAX($E$6-1,0),0)</f>
        <v/>
      </c>
      <c r="V24" s="14">
        <f>IF(V$23=$E$6,-$E$5*(1+Supuestos!$B$5)^MAX($E$6-1,0),0)</f>
        <v/>
      </c>
      <c r="W24" s="14">
        <f>IF(W$23=$E$6,-$E$5*(1+Supuestos!$B$5)^MAX($E$6-1,0),0)</f>
        <v/>
      </c>
    </row>
    <row r="25">
      <c r="A25" s="21" t="inlineStr">
        <is>
          <t xml:space="preserve">  Ingresos cobrados - fase 1</t>
        </is>
      </c>
      <c r="C25" s="14">
        <f>IF((C$23-$E$6)&gt;=1,CHOOSE(Supuestos!$B$3,$E$7,$E$8,$E$9)*12*CHOOSE(Supuestos!$B$3,$E$10,$E$11,$E$12)*IF((C$23-$E$6)=1,$E$16,IF((C$23-$E$6)=2,$E$17,1))*(1+Supuestos!$B$5)^MAX(C$23-1,0),0)</f>
        <v/>
      </c>
      <c r="D25" s="14">
        <f>IF((D$23-$E$6)&gt;=1,CHOOSE(Supuestos!$B$3,$E$7,$E$8,$E$9)*12*CHOOSE(Supuestos!$B$3,$E$10,$E$11,$E$12)*IF((D$23-$E$6)=1,$E$16,IF((D$23-$E$6)=2,$E$17,1))*(1+Supuestos!$B$5)^MAX(D$23-1,0),0)</f>
        <v/>
      </c>
      <c r="E25" s="14">
        <f>IF((E$23-$E$6)&gt;=1,CHOOSE(Supuestos!$B$3,$E$7,$E$8,$E$9)*12*CHOOSE(Supuestos!$B$3,$E$10,$E$11,$E$12)*IF((E$23-$E$6)=1,$E$16,IF((E$23-$E$6)=2,$E$17,1))*(1+Supuestos!$B$5)^MAX(E$23-1,0),0)</f>
        <v/>
      </c>
      <c r="F25" s="14">
        <f>IF((F$23-$E$6)&gt;=1,CHOOSE(Supuestos!$B$3,$E$7,$E$8,$E$9)*12*CHOOSE(Supuestos!$B$3,$E$10,$E$11,$E$12)*IF((F$23-$E$6)=1,$E$16,IF((F$23-$E$6)=2,$E$17,1))*(1+Supuestos!$B$5)^MAX(F$23-1,0),0)</f>
        <v/>
      </c>
      <c r="G25" s="14">
        <f>IF((G$23-$E$6)&gt;=1,CHOOSE(Supuestos!$B$3,$E$7,$E$8,$E$9)*12*CHOOSE(Supuestos!$B$3,$E$10,$E$11,$E$12)*IF((G$23-$E$6)=1,$E$16,IF((G$23-$E$6)=2,$E$17,1))*(1+Supuestos!$B$5)^MAX(G$23-1,0),0)</f>
        <v/>
      </c>
      <c r="H25" s="14">
        <f>IF((H$23-$E$6)&gt;=1,CHOOSE(Supuestos!$B$3,$E$7,$E$8,$E$9)*12*CHOOSE(Supuestos!$B$3,$E$10,$E$11,$E$12)*IF((H$23-$E$6)=1,$E$16,IF((H$23-$E$6)=2,$E$17,1))*(1+Supuestos!$B$5)^MAX(H$23-1,0),0)</f>
        <v/>
      </c>
      <c r="I25" s="14">
        <f>IF((I$23-$E$6)&gt;=1,CHOOSE(Supuestos!$B$3,$E$7,$E$8,$E$9)*12*CHOOSE(Supuestos!$B$3,$E$10,$E$11,$E$12)*IF((I$23-$E$6)=1,$E$16,IF((I$23-$E$6)=2,$E$17,1))*(1+Supuestos!$B$5)^MAX(I$23-1,0),0)</f>
        <v/>
      </c>
      <c r="J25" s="14">
        <f>IF((J$23-$E$6)&gt;=1,CHOOSE(Supuestos!$B$3,$E$7,$E$8,$E$9)*12*CHOOSE(Supuestos!$B$3,$E$10,$E$11,$E$12)*IF((J$23-$E$6)=1,$E$16,IF((J$23-$E$6)=2,$E$17,1))*(1+Supuestos!$B$5)^MAX(J$23-1,0),0)</f>
        <v/>
      </c>
      <c r="K25" s="14">
        <f>IF((K$23-$E$6)&gt;=1,CHOOSE(Supuestos!$B$3,$E$7,$E$8,$E$9)*12*CHOOSE(Supuestos!$B$3,$E$10,$E$11,$E$12)*IF((K$23-$E$6)=1,$E$16,IF((K$23-$E$6)=2,$E$17,1))*(1+Supuestos!$B$5)^MAX(K$23-1,0),0)</f>
        <v/>
      </c>
      <c r="L25" s="14">
        <f>IF((L$23-$E$6)&gt;=1,CHOOSE(Supuestos!$B$3,$E$7,$E$8,$E$9)*12*CHOOSE(Supuestos!$B$3,$E$10,$E$11,$E$12)*IF((L$23-$E$6)=1,$E$16,IF((L$23-$E$6)=2,$E$17,1))*(1+Supuestos!$B$5)^MAX(L$23-1,0),0)</f>
        <v/>
      </c>
      <c r="M25" s="14">
        <f>IF((M$23-$E$6)&gt;=1,CHOOSE(Supuestos!$B$3,$E$7,$E$8,$E$9)*12*CHOOSE(Supuestos!$B$3,$E$10,$E$11,$E$12)*IF((M$23-$E$6)=1,$E$16,IF((M$23-$E$6)=2,$E$17,1))*(1+Supuestos!$B$5)^MAX(M$23-1,0),0)</f>
        <v/>
      </c>
      <c r="N25" s="14">
        <f>IF((N$23-$E$6)&gt;=1,CHOOSE(Supuestos!$B$3,$E$7,$E$8,$E$9)*12*CHOOSE(Supuestos!$B$3,$E$10,$E$11,$E$12)*IF((N$23-$E$6)=1,$E$16,IF((N$23-$E$6)=2,$E$17,1))*(1+Supuestos!$B$5)^MAX(N$23-1,0),0)</f>
        <v/>
      </c>
      <c r="O25" s="14">
        <f>IF((O$23-$E$6)&gt;=1,CHOOSE(Supuestos!$B$3,$E$7,$E$8,$E$9)*12*CHOOSE(Supuestos!$B$3,$E$10,$E$11,$E$12)*IF((O$23-$E$6)=1,$E$16,IF((O$23-$E$6)=2,$E$17,1))*(1+Supuestos!$B$5)^MAX(O$23-1,0),0)</f>
        <v/>
      </c>
      <c r="P25" s="14">
        <f>IF((P$23-$E$6)&gt;=1,CHOOSE(Supuestos!$B$3,$E$7,$E$8,$E$9)*12*CHOOSE(Supuestos!$B$3,$E$10,$E$11,$E$12)*IF((P$23-$E$6)=1,$E$16,IF((P$23-$E$6)=2,$E$17,1))*(1+Supuestos!$B$5)^MAX(P$23-1,0),0)</f>
        <v/>
      </c>
      <c r="Q25" s="14">
        <f>IF((Q$23-$E$6)&gt;=1,CHOOSE(Supuestos!$B$3,$E$7,$E$8,$E$9)*12*CHOOSE(Supuestos!$B$3,$E$10,$E$11,$E$12)*IF((Q$23-$E$6)=1,$E$16,IF((Q$23-$E$6)=2,$E$17,1))*(1+Supuestos!$B$5)^MAX(Q$23-1,0),0)</f>
        <v/>
      </c>
      <c r="R25" s="14">
        <f>IF((R$23-$E$6)&gt;=1,CHOOSE(Supuestos!$B$3,$E$7,$E$8,$E$9)*12*CHOOSE(Supuestos!$B$3,$E$10,$E$11,$E$12)*IF((R$23-$E$6)=1,$E$16,IF((R$23-$E$6)=2,$E$17,1))*(1+Supuestos!$B$5)^MAX(R$23-1,0),0)</f>
        <v/>
      </c>
      <c r="S25" s="14">
        <f>IF((S$23-$E$6)&gt;=1,CHOOSE(Supuestos!$B$3,$E$7,$E$8,$E$9)*12*CHOOSE(Supuestos!$B$3,$E$10,$E$11,$E$12)*IF((S$23-$E$6)=1,$E$16,IF((S$23-$E$6)=2,$E$17,1))*(1+Supuestos!$B$5)^MAX(S$23-1,0),0)</f>
        <v/>
      </c>
      <c r="T25" s="14">
        <f>IF((T$23-$E$6)&gt;=1,CHOOSE(Supuestos!$B$3,$E$7,$E$8,$E$9)*12*CHOOSE(Supuestos!$B$3,$E$10,$E$11,$E$12)*IF((T$23-$E$6)=1,$E$16,IF((T$23-$E$6)=2,$E$17,1))*(1+Supuestos!$B$5)^MAX(T$23-1,0),0)</f>
        <v/>
      </c>
      <c r="U25" s="14">
        <f>IF((U$23-$E$6)&gt;=1,CHOOSE(Supuestos!$B$3,$E$7,$E$8,$E$9)*12*CHOOSE(Supuestos!$B$3,$E$10,$E$11,$E$12)*IF((U$23-$E$6)=1,$E$16,IF((U$23-$E$6)=2,$E$17,1))*(1+Supuestos!$B$5)^MAX(U$23-1,0),0)</f>
        <v/>
      </c>
      <c r="V25" s="14">
        <f>IF((V$23-$E$6)&gt;=1,CHOOSE(Supuestos!$B$3,$E$7,$E$8,$E$9)*12*CHOOSE(Supuestos!$B$3,$E$10,$E$11,$E$12)*IF((V$23-$E$6)=1,$E$16,IF((V$23-$E$6)=2,$E$17,1))*(1+Supuestos!$B$5)^MAX(V$23-1,0),0)</f>
        <v/>
      </c>
      <c r="W25" s="14">
        <f>IF((W$23-$E$6)&gt;=1,CHOOSE(Supuestos!$B$3,$E$7,$E$8,$E$9)*12*CHOOSE(Supuestos!$B$3,$E$10,$E$11,$E$12)*IF((W$23-$E$6)=1,$E$16,IF((W$23-$E$6)=2,$E$17,1))*(1+Supuestos!$B$5)^MAX(W$23-1,0),0)</f>
        <v/>
      </c>
    </row>
    <row r="26">
      <c r="A26" s="21" t="inlineStr">
        <is>
          <t xml:space="preserve">  Gastos - fase 1</t>
        </is>
      </c>
      <c r="C26" s="14">
        <f>IF((C$23-$E$6)&gt;=1,-$E$13*(1+Supuestos!$B$5)^MAX(C$23-1,0)-$E$14*C25,0)</f>
        <v/>
      </c>
      <c r="D26" s="14">
        <f>IF((D$23-$E$6)&gt;=1,-$E$13*(1+Supuestos!$B$5)^MAX(D$23-1,0)-$E$14*D25,0)</f>
        <v/>
      </c>
      <c r="E26" s="14">
        <f>IF((E$23-$E$6)&gt;=1,-$E$13*(1+Supuestos!$B$5)^MAX(E$23-1,0)-$E$14*E25,0)</f>
        <v/>
      </c>
      <c r="F26" s="14">
        <f>IF((F$23-$E$6)&gt;=1,-$E$13*(1+Supuestos!$B$5)^MAX(F$23-1,0)-$E$14*F25,0)</f>
        <v/>
      </c>
      <c r="G26" s="14">
        <f>IF((G$23-$E$6)&gt;=1,-$E$13*(1+Supuestos!$B$5)^MAX(G$23-1,0)-$E$14*G25,0)</f>
        <v/>
      </c>
      <c r="H26" s="14">
        <f>IF((H$23-$E$6)&gt;=1,-$E$13*(1+Supuestos!$B$5)^MAX(H$23-1,0)-$E$14*H25,0)</f>
        <v/>
      </c>
      <c r="I26" s="14">
        <f>IF((I$23-$E$6)&gt;=1,-$E$13*(1+Supuestos!$B$5)^MAX(I$23-1,0)-$E$14*I25,0)</f>
        <v/>
      </c>
      <c r="J26" s="14">
        <f>IF((J$23-$E$6)&gt;=1,-$E$13*(1+Supuestos!$B$5)^MAX(J$23-1,0)-$E$14*J25,0)</f>
        <v/>
      </c>
      <c r="K26" s="14">
        <f>IF((K$23-$E$6)&gt;=1,-$E$13*(1+Supuestos!$B$5)^MAX(K$23-1,0)-$E$14*K25,0)</f>
        <v/>
      </c>
      <c r="L26" s="14">
        <f>IF((L$23-$E$6)&gt;=1,-$E$13*(1+Supuestos!$B$5)^MAX(L$23-1,0)-$E$14*L25,0)</f>
        <v/>
      </c>
      <c r="M26" s="14">
        <f>IF((M$23-$E$6)&gt;=1,-$E$13*(1+Supuestos!$B$5)^MAX(M$23-1,0)-$E$14*M25,0)</f>
        <v/>
      </c>
      <c r="N26" s="14">
        <f>IF((N$23-$E$6)&gt;=1,-$E$13*(1+Supuestos!$B$5)^MAX(N$23-1,0)-$E$14*N25,0)</f>
        <v/>
      </c>
      <c r="O26" s="14">
        <f>IF((O$23-$E$6)&gt;=1,-$E$13*(1+Supuestos!$B$5)^MAX(O$23-1,0)-$E$14*O25,0)</f>
        <v/>
      </c>
      <c r="P26" s="14">
        <f>IF((P$23-$E$6)&gt;=1,-$E$13*(1+Supuestos!$B$5)^MAX(P$23-1,0)-$E$14*P25,0)</f>
        <v/>
      </c>
      <c r="Q26" s="14">
        <f>IF((Q$23-$E$6)&gt;=1,-$E$13*(1+Supuestos!$B$5)^MAX(Q$23-1,0)-$E$14*Q25,0)</f>
        <v/>
      </c>
      <c r="R26" s="14">
        <f>IF((R$23-$E$6)&gt;=1,-$E$13*(1+Supuestos!$B$5)^MAX(R$23-1,0)-$E$14*R25,0)</f>
        <v/>
      </c>
      <c r="S26" s="14">
        <f>IF((S$23-$E$6)&gt;=1,-$E$13*(1+Supuestos!$B$5)^MAX(S$23-1,0)-$E$14*S25,0)</f>
        <v/>
      </c>
      <c r="T26" s="14">
        <f>IF((T$23-$E$6)&gt;=1,-$E$13*(1+Supuestos!$B$5)^MAX(T$23-1,0)-$E$14*T25,0)</f>
        <v/>
      </c>
      <c r="U26" s="14">
        <f>IF((U$23-$E$6)&gt;=1,-$E$13*(1+Supuestos!$B$5)^MAX(U$23-1,0)-$E$14*U25,0)</f>
        <v/>
      </c>
      <c r="V26" s="14">
        <f>IF((V$23-$E$6)&gt;=1,-$E$13*(1+Supuestos!$B$5)^MAX(V$23-1,0)-$E$14*V25,0)</f>
        <v/>
      </c>
      <c r="W26" s="14">
        <f>IF((W$23-$E$6)&gt;=1,-$E$13*(1+Supuestos!$B$5)^MAX(W$23-1,0)-$E$14*W25,0)</f>
        <v/>
      </c>
    </row>
    <row r="27">
      <c r="A27" s="21" t="inlineStr">
        <is>
          <t xml:space="preserve">  Impuestos - fase 1</t>
        </is>
      </c>
      <c r="C27" s="14">
        <f>-$E$15*C25</f>
        <v/>
      </c>
      <c r="D27" s="14">
        <f>-$E$15*D25</f>
        <v/>
      </c>
      <c r="E27" s="14">
        <f>-$E$15*E25</f>
        <v/>
      </c>
      <c r="F27" s="14">
        <f>-$E$15*F25</f>
        <v/>
      </c>
      <c r="G27" s="14">
        <f>-$E$15*G25</f>
        <v/>
      </c>
      <c r="H27" s="14">
        <f>-$E$15*H25</f>
        <v/>
      </c>
      <c r="I27" s="14">
        <f>-$E$15*I25</f>
        <v/>
      </c>
      <c r="J27" s="14">
        <f>-$E$15*J25</f>
        <v/>
      </c>
      <c r="K27" s="14">
        <f>-$E$15*K25</f>
        <v/>
      </c>
      <c r="L27" s="14">
        <f>-$E$15*L25</f>
        <v/>
      </c>
      <c r="M27" s="14">
        <f>-$E$15*M25</f>
        <v/>
      </c>
      <c r="N27" s="14">
        <f>-$E$15*N25</f>
        <v/>
      </c>
      <c r="O27" s="14">
        <f>-$E$15*O25</f>
        <v/>
      </c>
      <c r="P27" s="14">
        <f>-$E$15*P25</f>
        <v/>
      </c>
      <c r="Q27" s="14">
        <f>-$E$15*Q25</f>
        <v/>
      </c>
      <c r="R27" s="14">
        <f>-$E$15*R25</f>
        <v/>
      </c>
      <c r="S27" s="14">
        <f>-$E$15*S25</f>
        <v/>
      </c>
      <c r="T27" s="14">
        <f>-$E$15*T25</f>
        <v/>
      </c>
      <c r="U27" s="14">
        <f>-$E$15*U25</f>
        <v/>
      </c>
      <c r="V27" s="14">
        <f>-$E$15*V25</f>
        <v/>
      </c>
      <c r="W27" s="14">
        <f>-$E$15*W25</f>
        <v/>
      </c>
    </row>
    <row r="28">
      <c r="A28" s="21" t="inlineStr">
        <is>
          <t xml:space="preserve">  Reposiciones - fase 1</t>
        </is>
      </c>
      <c r="C28" s="14">
        <f>IF((C$23-$E$6)=$E$19,-$E$20*(1+Supuestos!$B$5)^MAX(C$23-1,0)*Supuestos!$B$22,0)</f>
        <v/>
      </c>
      <c r="D28" s="14">
        <f>IF((D$23-$E$6)=$E$19,-$E$20*(1+Supuestos!$B$5)^MAX(D$23-1,0)*Supuestos!$B$22,0)</f>
        <v/>
      </c>
      <c r="E28" s="14">
        <f>IF((E$23-$E$6)=$E$19,-$E$20*(1+Supuestos!$B$5)^MAX(E$23-1,0)*Supuestos!$B$22,0)</f>
        <v/>
      </c>
      <c r="F28" s="14">
        <f>IF((F$23-$E$6)=$E$19,-$E$20*(1+Supuestos!$B$5)^MAX(F$23-1,0)*Supuestos!$B$22,0)</f>
        <v/>
      </c>
      <c r="G28" s="14">
        <f>IF((G$23-$E$6)=$E$19,-$E$20*(1+Supuestos!$B$5)^MAX(G$23-1,0)*Supuestos!$B$22,0)</f>
        <v/>
      </c>
      <c r="H28" s="14">
        <f>IF((H$23-$E$6)=$E$19,-$E$20*(1+Supuestos!$B$5)^MAX(H$23-1,0)*Supuestos!$B$22,0)</f>
        <v/>
      </c>
      <c r="I28" s="14">
        <f>IF((I$23-$E$6)=$E$19,-$E$20*(1+Supuestos!$B$5)^MAX(I$23-1,0)*Supuestos!$B$22,0)</f>
        <v/>
      </c>
      <c r="J28" s="14">
        <f>IF((J$23-$E$6)=$E$19,-$E$20*(1+Supuestos!$B$5)^MAX(J$23-1,0)*Supuestos!$B$22,0)</f>
        <v/>
      </c>
      <c r="K28" s="14">
        <f>IF((K$23-$E$6)=$E$19,-$E$20*(1+Supuestos!$B$5)^MAX(K$23-1,0)*Supuestos!$B$22,0)</f>
        <v/>
      </c>
      <c r="L28" s="14">
        <f>IF((L$23-$E$6)=$E$19,-$E$20*(1+Supuestos!$B$5)^MAX(L$23-1,0)*Supuestos!$B$22,0)</f>
        <v/>
      </c>
      <c r="M28" s="14">
        <f>IF((M$23-$E$6)=$E$19,-$E$20*(1+Supuestos!$B$5)^MAX(M$23-1,0)*Supuestos!$B$22,0)</f>
        <v/>
      </c>
      <c r="N28" s="14">
        <f>IF((N$23-$E$6)=$E$19,-$E$20*(1+Supuestos!$B$5)^MAX(N$23-1,0)*Supuestos!$B$22,0)</f>
        <v/>
      </c>
      <c r="O28" s="14">
        <f>IF((O$23-$E$6)=$E$19,-$E$20*(1+Supuestos!$B$5)^MAX(O$23-1,0)*Supuestos!$B$22,0)</f>
        <v/>
      </c>
      <c r="P28" s="14">
        <f>IF((P$23-$E$6)=$E$19,-$E$20*(1+Supuestos!$B$5)^MAX(P$23-1,0)*Supuestos!$B$22,0)</f>
        <v/>
      </c>
      <c r="Q28" s="14">
        <f>IF((Q$23-$E$6)=$E$19,-$E$20*(1+Supuestos!$B$5)^MAX(Q$23-1,0)*Supuestos!$B$22,0)</f>
        <v/>
      </c>
      <c r="R28" s="14">
        <f>IF((R$23-$E$6)=$E$19,-$E$20*(1+Supuestos!$B$5)^MAX(R$23-1,0)*Supuestos!$B$22,0)</f>
        <v/>
      </c>
      <c r="S28" s="14">
        <f>IF((S$23-$E$6)=$E$19,-$E$20*(1+Supuestos!$B$5)^MAX(S$23-1,0)*Supuestos!$B$22,0)</f>
        <v/>
      </c>
      <c r="T28" s="14">
        <f>IF((T$23-$E$6)=$E$19,-$E$20*(1+Supuestos!$B$5)^MAX(T$23-1,0)*Supuestos!$B$22,0)</f>
        <v/>
      </c>
      <c r="U28" s="14">
        <f>IF((U$23-$E$6)=$E$19,-$E$20*(1+Supuestos!$B$5)^MAX(U$23-1,0)*Supuestos!$B$22,0)</f>
        <v/>
      </c>
      <c r="V28" s="14">
        <f>IF((V$23-$E$6)=$E$19,-$E$20*(1+Supuestos!$B$5)^MAX(V$23-1,0)*Supuestos!$B$22,0)</f>
        <v/>
      </c>
      <c r="W28" s="14">
        <f>IF((W$23-$E$6)=$E$19,-$E$20*(1+Supuestos!$B$5)^MAX(W$23-1,0)*Supuestos!$B$22,0)</f>
        <v/>
      </c>
    </row>
    <row r="29">
      <c r="A29" s="21" t="inlineStr">
        <is>
          <t xml:space="preserve">  Valor residual (año 20) - fase 1</t>
        </is>
      </c>
      <c r="C29" s="14">
        <f>IF(AND(C$23=20,$E$18&gt;1),$E$5*(1+Supuestos!$B$5)^MAX($E$6-1,0)*MAX(0,1-(20-$E$6)/$E$18),0)</f>
        <v/>
      </c>
      <c r="D29" s="14">
        <f>IF(AND(D$23=20,$E$18&gt;1),$E$5*(1+Supuestos!$B$5)^MAX($E$6-1,0)*MAX(0,1-(20-$E$6)/$E$18),0)</f>
        <v/>
      </c>
      <c r="E29" s="14">
        <f>IF(AND(E$23=20,$E$18&gt;1),$E$5*(1+Supuestos!$B$5)^MAX($E$6-1,0)*MAX(0,1-(20-$E$6)/$E$18),0)</f>
        <v/>
      </c>
      <c r="F29" s="14">
        <f>IF(AND(F$23=20,$E$18&gt;1),$E$5*(1+Supuestos!$B$5)^MAX($E$6-1,0)*MAX(0,1-(20-$E$6)/$E$18),0)</f>
        <v/>
      </c>
      <c r="G29" s="14">
        <f>IF(AND(G$23=20,$E$18&gt;1),$E$5*(1+Supuestos!$B$5)^MAX($E$6-1,0)*MAX(0,1-(20-$E$6)/$E$18),0)</f>
        <v/>
      </c>
      <c r="H29" s="14">
        <f>IF(AND(H$23=20,$E$18&gt;1),$E$5*(1+Supuestos!$B$5)^MAX($E$6-1,0)*MAX(0,1-(20-$E$6)/$E$18),0)</f>
        <v/>
      </c>
      <c r="I29" s="14">
        <f>IF(AND(I$23=20,$E$18&gt;1),$E$5*(1+Supuestos!$B$5)^MAX($E$6-1,0)*MAX(0,1-(20-$E$6)/$E$18),0)</f>
        <v/>
      </c>
      <c r="J29" s="14">
        <f>IF(AND(J$23=20,$E$18&gt;1),$E$5*(1+Supuestos!$B$5)^MAX($E$6-1,0)*MAX(0,1-(20-$E$6)/$E$18),0)</f>
        <v/>
      </c>
      <c r="K29" s="14">
        <f>IF(AND(K$23=20,$E$18&gt;1),$E$5*(1+Supuestos!$B$5)^MAX($E$6-1,0)*MAX(0,1-(20-$E$6)/$E$18),0)</f>
        <v/>
      </c>
      <c r="L29" s="14">
        <f>IF(AND(L$23=20,$E$18&gt;1),$E$5*(1+Supuestos!$B$5)^MAX($E$6-1,0)*MAX(0,1-(20-$E$6)/$E$18),0)</f>
        <v/>
      </c>
      <c r="M29" s="14">
        <f>IF(AND(M$23=20,$E$18&gt;1),$E$5*(1+Supuestos!$B$5)^MAX($E$6-1,0)*MAX(0,1-(20-$E$6)/$E$18),0)</f>
        <v/>
      </c>
      <c r="N29" s="14">
        <f>IF(AND(N$23=20,$E$18&gt;1),$E$5*(1+Supuestos!$B$5)^MAX($E$6-1,0)*MAX(0,1-(20-$E$6)/$E$18),0)</f>
        <v/>
      </c>
      <c r="O29" s="14">
        <f>IF(AND(O$23=20,$E$18&gt;1),$E$5*(1+Supuestos!$B$5)^MAX($E$6-1,0)*MAX(0,1-(20-$E$6)/$E$18),0)</f>
        <v/>
      </c>
      <c r="P29" s="14">
        <f>IF(AND(P$23=20,$E$18&gt;1),$E$5*(1+Supuestos!$B$5)^MAX($E$6-1,0)*MAX(0,1-(20-$E$6)/$E$18),0)</f>
        <v/>
      </c>
      <c r="Q29" s="14">
        <f>IF(AND(Q$23=20,$E$18&gt;1),$E$5*(1+Supuestos!$B$5)^MAX($E$6-1,0)*MAX(0,1-(20-$E$6)/$E$18),0)</f>
        <v/>
      </c>
      <c r="R29" s="14">
        <f>IF(AND(R$23=20,$E$18&gt;1),$E$5*(1+Supuestos!$B$5)^MAX($E$6-1,0)*MAX(0,1-(20-$E$6)/$E$18),0)</f>
        <v/>
      </c>
      <c r="S29" s="14">
        <f>IF(AND(S$23=20,$E$18&gt;1),$E$5*(1+Supuestos!$B$5)^MAX($E$6-1,0)*MAX(0,1-(20-$E$6)/$E$18),0)</f>
        <v/>
      </c>
      <c r="T29" s="14">
        <f>IF(AND(T$23=20,$E$18&gt;1),$E$5*(1+Supuestos!$B$5)^MAX($E$6-1,0)*MAX(0,1-(20-$E$6)/$E$18),0)</f>
        <v/>
      </c>
      <c r="U29" s="14">
        <f>IF(AND(U$23=20,$E$18&gt;1),$E$5*(1+Supuestos!$B$5)^MAX($E$6-1,0)*MAX(0,1-(20-$E$6)/$E$18),0)</f>
        <v/>
      </c>
      <c r="V29" s="14">
        <f>IF(AND(V$23=20,$E$18&gt;1),$E$5*(1+Supuestos!$B$5)^MAX($E$6-1,0)*MAX(0,1-(20-$E$6)/$E$18),0)</f>
        <v/>
      </c>
      <c r="W29" s="14">
        <f>IF(AND(W$23=20,$E$18&gt;1),$E$5*(1+Supuestos!$B$5)^MAX($E$6-1,0)*MAX(0,1-(20-$E$6)/$E$18),0)</f>
        <v/>
      </c>
    </row>
    <row r="30">
      <c r="A30" s="7" t="inlineStr">
        <is>
          <t>Inversión</t>
        </is>
      </c>
      <c r="C30" s="22">
        <f>C24</f>
        <v/>
      </c>
      <c r="D30" s="22">
        <f>D24</f>
        <v/>
      </c>
      <c r="E30" s="22">
        <f>E24</f>
        <v/>
      </c>
      <c r="F30" s="22">
        <f>F24</f>
        <v/>
      </c>
      <c r="G30" s="22">
        <f>G24</f>
        <v/>
      </c>
      <c r="H30" s="22">
        <f>H24</f>
        <v/>
      </c>
      <c r="I30" s="22">
        <f>I24</f>
        <v/>
      </c>
      <c r="J30" s="22">
        <f>J24</f>
        <v/>
      </c>
      <c r="K30" s="22">
        <f>K24</f>
        <v/>
      </c>
      <c r="L30" s="22">
        <f>L24</f>
        <v/>
      </c>
      <c r="M30" s="22">
        <f>M24</f>
        <v/>
      </c>
      <c r="N30" s="22">
        <f>N24</f>
        <v/>
      </c>
      <c r="O30" s="22">
        <f>O24</f>
        <v/>
      </c>
      <c r="P30" s="22">
        <f>P24</f>
        <v/>
      </c>
      <c r="Q30" s="22">
        <f>Q24</f>
        <v/>
      </c>
      <c r="R30" s="22">
        <f>R24</f>
        <v/>
      </c>
      <c r="S30" s="22">
        <f>S24</f>
        <v/>
      </c>
      <c r="T30" s="22">
        <f>T24</f>
        <v/>
      </c>
      <c r="U30" s="22">
        <f>U24</f>
        <v/>
      </c>
      <c r="V30" s="22">
        <f>V24</f>
        <v/>
      </c>
      <c r="W30" s="22">
        <f>W24</f>
        <v/>
      </c>
    </row>
    <row r="31">
      <c r="A31" s="7" t="inlineStr">
        <is>
          <t>Ingresos cobrados</t>
        </is>
      </c>
      <c r="C31" s="22">
        <f>C25</f>
        <v/>
      </c>
      <c r="D31" s="22">
        <f>D25</f>
        <v/>
      </c>
      <c r="E31" s="22">
        <f>E25</f>
        <v/>
      </c>
      <c r="F31" s="22">
        <f>F25</f>
        <v/>
      </c>
      <c r="G31" s="22">
        <f>G25</f>
        <v/>
      </c>
      <c r="H31" s="22">
        <f>H25</f>
        <v/>
      </c>
      <c r="I31" s="22">
        <f>I25</f>
        <v/>
      </c>
      <c r="J31" s="22">
        <f>J25</f>
        <v/>
      </c>
      <c r="K31" s="22">
        <f>K25</f>
        <v/>
      </c>
      <c r="L31" s="22">
        <f>L25</f>
        <v/>
      </c>
      <c r="M31" s="22">
        <f>M25</f>
        <v/>
      </c>
      <c r="N31" s="22">
        <f>N25</f>
        <v/>
      </c>
      <c r="O31" s="22">
        <f>O25</f>
        <v/>
      </c>
      <c r="P31" s="22">
        <f>P25</f>
        <v/>
      </c>
      <c r="Q31" s="22">
        <f>Q25</f>
        <v/>
      </c>
      <c r="R31" s="22">
        <f>R25</f>
        <v/>
      </c>
      <c r="S31" s="22">
        <f>S25</f>
        <v/>
      </c>
      <c r="T31" s="22">
        <f>T25</f>
        <v/>
      </c>
      <c r="U31" s="22">
        <f>U25</f>
        <v/>
      </c>
      <c r="V31" s="22">
        <f>V25</f>
        <v/>
      </c>
      <c r="W31" s="22">
        <f>W25</f>
        <v/>
      </c>
    </row>
    <row r="32">
      <c r="A32" s="7" t="inlineStr">
        <is>
          <t>Gastos</t>
        </is>
      </c>
      <c r="C32" s="22">
        <f>C26</f>
        <v/>
      </c>
      <c r="D32" s="22">
        <f>D26</f>
        <v/>
      </c>
      <c r="E32" s="22">
        <f>E26</f>
        <v/>
      </c>
      <c r="F32" s="22">
        <f>F26</f>
        <v/>
      </c>
      <c r="G32" s="22">
        <f>G26</f>
        <v/>
      </c>
      <c r="H32" s="22">
        <f>H26</f>
        <v/>
      </c>
      <c r="I32" s="22">
        <f>I26</f>
        <v/>
      </c>
      <c r="J32" s="22">
        <f>J26</f>
        <v/>
      </c>
      <c r="K32" s="22">
        <f>K26</f>
        <v/>
      </c>
      <c r="L32" s="22">
        <f>L26</f>
        <v/>
      </c>
      <c r="M32" s="22">
        <f>M26</f>
        <v/>
      </c>
      <c r="N32" s="22">
        <f>N26</f>
        <v/>
      </c>
      <c r="O32" s="22">
        <f>O26</f>
        <v/>
      </c>
      <c r="P32" s="22">
        <f>P26</f>
        <v/>
      </c>
      <c r="Q32" s="22">
        <f>Q26</f>
        <v/>
      </c>
      <c r="R32" s="22">
        <f>R26</f>
        <v/>
      </c>
      <c r="S32" s="22">
        <f>S26</f>
        <v/>
      </c>
      <c r="T32" s="22">
        <f>T26</f>
        <v/>
      </c>
      <c r="U32" s="22">
        <f>U26</f>
        <v/>
      </c>
      <c r="V32" s="22">
        <f>V26</f>
        <v/>
      </c>
      <c r="W32" s="22">
        <f>W26</f>
        <v/>
      </c>
    </row>
    <row r="33">
      <c r="A33" s="7" t="inlineStr">
        <is>
          <t>Impuestos</t>
        </is>
      </c>
      <c r="C33" s="22">
        <f>C27</f>
        <v/>
      </c>
      <c r="D33" s="22">
        <f>D27</f>
        <v/>
      </c>
      <c r="E33" s="22">
        <f>E27</f>
        <v/>
      </c>
      <c r="F33" s="22">
        <f>F27</f>
        <v/>
      </c>
      <c r="G33" s="22">
        <f>G27</f>
        <v/>
      </c>
      <c r="H33" s="22">
        <f>H27</f>
        <v/>
      </c>
      <c r="I33" s="22">
        <f>I27</f>
        <v/>
      </c>
      <c r="J33" s="22">
        <f>J27</f>
        <v/>
      </c>
      <c r="K33" s="22">
        <f>K27</f>
        <v/>
      </c>
      <c r="L33" s="22">
        <f>L27</f>
        <v/>
      </c>
      <c r="M33" s="22">
        <f>M27</f>
        <v/>
      </c>
      <c r="N33" s="22">
        <f>N27</f>
        <v/>
      </c>
      <c r="O33" s="22">
        <f>O27</f>
        <v/>
      </c>
      <c r="P33" s="22">
        <f>P27</f>
        <v/>
      </c>
      <c r="Q33" s="22">
        <f>Q27</f>
        <v/>
      </c>
      <c r="R33" s="22">
        <f>R27</f>
        <v/>
      </c>
      <c r="S33" s="22">
        <f>S27</f>
        <v/>
      </c>
      <c r="T33" s="22">
        <f>T27</f>
        <v/>
      </c>
      <c r="U33" s="22">
        <f>U27</f>
        <v/>
      </c>
      <c r="V33" s="22">
        <f>V27</f>
        <v/>
      </c>
      <c r="W33" s="22">
        <f>W27</f>
        <v/>
      </c>
    </row>
    <row r="34">
      <c r="A34" s="7" t="inlineStr">
        <is>
          <t>Reposiciones</t>
        </is>
      </c>
      <c r="C34" s="22">
        <f>C28</f>
        <v/>
      </c>
      <c r="D34" s="22">
        <f>D28</f>
        <v/>
      </c>
      <c r="E34" s="22">
        <f>E28</f>
        <v/>
      </c>
      <c r="F34" s="22">
        <f>F28</f>
        <v/>
      </c>
      <c r="G34" s="22">
        <f>G28</f>
        <v/>
      </c>
      <c r="H34" s="22">
        <f>H28</f>
        <v/>
      </c>
      <c r="I34" s="22">
        <f>I28</f>
        <v/>
      </c>
      <c r="J34" s="22">
        <f>J28</f>
        <v/>
      </c>
      <c r="K34" s="22">
        <f>K28</f>
        <v/>
      </c>
      <c r="L34" s="22">
        <f>L28</f>
        <v/>
      </c>
      <c r="M34" s="22">
        <f>M28</f>
        <v/>
      </c>
      <c r="N34" s="22">
        <f>N28</f>
        <v/>
      </c>
      <c r="O34" s="22">
        <f>O28</f>
        <v/>
      </c>
      <c r="P34" s="22">
        <f>P28</f>
        <v/>
      </c>
      <c r="Q34" s="22">
        <f>Q28</f>
        <v/>
      </c>
      <c r="R34" s="22">
        <f>R28</f>
        <v/>
      </c>
      <c r="S34" s="22">
        <f>S28</f>
        <v/>
      </c>
      <c r="T34" s="22">
        <f>T28</f>
        <v/>
      </c>
      <c r="U34" s="22">
        <f>U28</f>
        <v/>
      </c>
      <c r="V34" s="22">
        <f>V28</f>
        <v/>
      </c>
      <c r="W34" s="22">
        <f>W28</f>
        <v/>
      </c>
    </row>
    <row r="35">
      <c r="A35" s="7" t="inlineStr">
        <is>
          <t>Valor residual (año 20)</t>
        </is>
      </c>
      <c r="C35" s="22">
        <f>C29</f>
        <v/>
      </c>
      <c r="D35" s="22">
        <f>D29</f>
        <v/>
      </c>
      <c r="E35" s="22">
        <f>E29</f>
        <v/>
      </c>
      <c r="F35" s="22">
        <f>F29</f>
        <v/>
      </c>
      <c r="G35" s="22">
        <f>G29</f>
        <v/>
      </c>
      <c r="H35" s="22">
        <f>H29</f>
        <v/>
      </c>
      <c r="I35" s="22">
        <f>I29</f>
        <v/>
      </c>
      <c r="J35" s="22">
        <f>J29</f>
        <v/>
      </c>
      <c r="K35" s="22">
        <f>K29</f>
        <v/>
      </c>
      <c r="L35" s="22">
        <f>L29</f>
        <v/>
      </c>
      <c r="M35" s="22">
        <f>M29</f>
        <v/>
      </c>
      <c r="N35" s="22">
        <f>N29</f>
        <v/>
      </c>
      <c r="O35" s="22">
        <f>O29</f>
        <v/>
      </c>
      <c r="P35" s="22">
        <f>P29</f>
        <v/>
      </c>
      <c r="Q35" s="22">
        <f>Q29</f>
        <v/>
      </c>
      <c r="R35" s="22">
        <f>R29</f>
        <v/>
      </c>
      <c r="S35" s="22">
        <f>S29</f>
        <v/>
      </c>
      <c r="T35" s="22">
        <f>T29</f>
        <v/>
      </c>
      <c r="U35" s="22">
        <f>U29</f>
        <v/>
      </c>
      <c r="V35" s="22">
        <f>V29</f>
        <v/>
      </c>
      <c r="W35" s="22">
        <f>W29</f>
        <v/>
      </c>
    </row>
    <row r="36">
      <c r="A36" s="7" t="inlineStr">
        <is>
          <t>FLUJO NETO</t>
        </is>
      </c>
      <c r="C36" s="8">
        <f>C30+C31+C32+C33+C34+C35</f>
        <v/>
      </c>
      <c r="D36" s="8">
        <f>D30+D31+D32+D33+D34+D35</f>
        <v/>
      </c>
      <c r="E36" s="8">
        <f>E30+E31+E32+E33+E34+E35</f>
        <v/>
      </c>
      <c r="F36" s="8">
        <f>F30+F31+F32+F33+F34+F35</f>
        <v/>
      </c>
      <c r="G36" s="8">
        <f>G30+G31+G32+G33+G34+G35</f>
        <v/>
      </c>
      <c r="H36" s="8">
        <f>H30+H31+H32+H33+H34+H35</f>
        <v/>
      </c>
      <c r="I36" s="8">
        <f>I30+I31+I32+I33+I34+I35</f>
        <v/>
      </c>
      <c r="J36" s="8">
        <f>J30+J31+J32+J33+J34+J35</f>
        <v/>
      </c>
      <c r="K36" s="8">
        <f>K30+K31+K32+K33+K34+K35</f>
        <v/>
      </c>
      <c r="L36" s="8">
        <f>L30+L31+L32+L33+L34+L35</f>
        <v/>
      </c>
      <c r="M36" s="8">
        <f>M30+M31+M32+M33+M34+M35</f>
        <v/>
      </c>
      <c r="N36" s="8">
        <f>N30+N31+N32+N33+N34+N35</f>
        <v/>
      </c>
      <c r="O36" s="8">
        <f>O30+O31+O32+O33+O34+O35</f>
        <v/>
      </c>
      <c r="P36" s="8">
        <f>P30+P31+P32+P33+P34+P35</f>
        <v/>
      </c>
      <c r="Q36" s="8">
        <f>Q30+Q31+Q32+Q33+Q34+Q35</f>
        <v/>
      </c>
      <c r="R36" s="8">
        <f>R30+R31+R32+R33+R34+R35</f>
        <v/>
      </c>
      <c r="S36" s="8">
        <f>S30+S31+S32+S33+S34+S35</f>
        <v/>
      </c>
      <c r="T36" s="8">
        <f>T30+T31+T32+T33+T34+T35</f>
        <v/>
      </c>
      <c r="U36" s="8">
        <f>U30+U31+U32+U33+U34+U35</f>
        <v/>
      </c>
      <c r="V36" s="8">
        <f>V30+V31+V32+V33+V34+V35</f>
        <v/>
      </c>
      <c r="W36" s="8">
        <f>W30+W31+W32+W33+W34+W35</f>
        <v/>
      </c>
    </row>
    <row r="37">
      <c r="A37" s="7" t="inlineStr">
        <is>
          <t>Caja acumulada (sin valor residual)</t>
        </is>
      </c>
      <c r="C37" s="14">
        <f>C36-C35</f>
        <v/>
      </c>
      <c r="D37" s="14">
        <f>C37+D36-D35</f>
        <v/>
      </c>
      <c r="E37" s="14">
        <f>D37+E36-E35</f>
        <v/>
      </c>
      <c r="F37" s="14">
        <f>E37+F36-F35</f>
        <v/>
      </c>
      <c r="G37" s="14">
        <f>F37+G36-G35</f>
        <v/>
      </c>
      <c r="H37" s="14">
        <f>G37+H36-H35</f>
        <v/>
      </c>
      <c r="I37" s="14">
        <f>H37+I36-I35</f>
        <v/>
      </c>
      <c r="J37" s="14">
        <f>I37+J36-J35</f>
        <v/>
      </c>
      <c r="K37" s="14">
        <f>J37+K36-K35</f>
        <v/>
      </c>
      <c r="L37" s="14">
        <f>K37+L36-L35</f>
        <v/>
      </c>
      <c r="M37" s="14">
        <f>L37+M36-M35</f>
        <v/>
      </c>
      <c r="N37" s="14">
        <f>M37+N36-N35</f>
        <v/>
      </c>
      <c r="O37" s="14">
        <f>N37+O36-O35</f>
        <v/>
      </c>
      <c r="P37" s="14">
        <f>O37+P36-P35</f>
        <v/>
      </c>
      <c r="Q37" s="14">
        <f>P37+Q36-Q35</f>
        <v/>
      </c>
      <c r="R37" s="14">
        <f>Q37+R36-R35</f>
        <v/>
      </c>
      <c r="S37" s="14">
        <f>R37+S36-S35</f>
        <v/>
      </c>
      <c r="T37" s="14">
        <f>S37+T36-T35</f>
        <v/>
      </c>
      <c r="U37" s="14">
        <f>T37+U36-U35</f>
        <v/>
      </c>
      <c r="V37" s="14">
        <f>U37+V36-V35</f>
        <v/>
      </c>
      <c r="W37" s="14">
        <f>V37+W36-W35</f>
        <v/>
      </c>
    </row>
    <row r="38">
      <c r="A38" s="7" t="inlineStr">
        <is>
          <t>Flujo del propietario contando el terreno (lo aporta hoy y lo recupera valorizado)</t>
        </is>
      </c>
      <c r="C38" s="14">
        <f>C36-Supuestos!$B$21</f>
        <v/>
      </c>
      <c r="D38" s="14">
        <f>D36</f>
        <v/>
      </c>
      <c r="E38" s="14">
        <f>E36</f>
        <v/>
      </c>
      <c r="F38" s="14">
        <f>F36</f>
        <v/>
      </c>
      <c r="G38" s="14">
        <f>G36</f>
        <v/>
      </c>
      <c r="H38" s="14">
        <f>H36</f>
        <v/>
      </c>
      <c r="I38" s="14">
        <f>I36</f>
        <v/>
      </c>
      <c r="J38" s="14">
        <f>J36</f>
        <v/>
      </c>
      <c r="K38" s="14">
        <f>K36</f>
        <v/>
      </c>
      <c r="L38" s="14">
        <f>L36</f>
        <v/>
      </c>
      <c r="M38" s="14">
        <f>M36</f>
        <v/>
      </c>
      <c r="N38" s="14">
        <f>N36</f>
        <v/>
      </c>
      <c r="O38" s="14">
        <f>O36</f>
        <v/>
      </c>
      <c r="P38" s="14">
        <f>P36</f>
        <v/>
      </c>
      <c r="Q38" s="14">
        <f>Q36</f>
        <v/>
      </c>
      <c r="R38" s="14">
        <f>R36</f>
        <v/>
      </c>
      <c r="S38" s="14">
        <f>S36</f>
        <v/>
      </c>
      <c r="T38" s="14">
        <f>T36</f>
        <v/>
      </c>
      <c r="U38" s="14">
        <f>U36</f>
        <v/>
      </c>
      <c r="V38" s="14">
        <f>V36</f>
        <v/>
      </c>
      <c r="W38" s="14">
        <f>W36+Supuestos!$B$21*(1+Supuestos!$B$23)^20</f>
        <v/>
      </c>
    </row>
    <row r="40">
      <c r="A40" s="7" t="inlineStr">
        <is>
          <t>Inversión total</t>
        </is>
      </c>
      <c r="C40" s="8">
        <f>-SUM(C30:W30)</f>
        <v/>
      </c>
    </row>
    <row r="41">
      <c r="A41" s="7" t="inlineStr">
        <is>
          <t>VAN al 10%</t>
        </is>
      </c>
      <c r="C41" s="8">
        <f>C36+NPV(Supuestos!$B$4,D36:W36)</f>
        <v/>
      </c>
    </row>
    <row r="42">
      <c r="A42" s="7" t="inlineStr">
        <is>
          <t>TIR</t>
        </is>
      </c>
      <c r="C42" s="23">
        <f>IFERROR(IRR(C36:W36),IFERROR(IRR(C36:W36,-0.05),"no aplica"))</f>
        <v/>
      </c>
    </row>
    <row r="43">
      <c r="A43" s="7" t="inlineStr">
        <is>
          <t>Año en que se recupera la inversión (acumulado ≥ 0)</t>
        </is>
      </c>
      <c r="C43" s="24">
        <f>IF(-SUM(C30:W30)=0,"sin inversión",IFERROR(INDEX(C23:W23,MATCH(TRUE,INDEX(C37:W37&gt;=0,0),0)),"no en 20 años"))</f>
        <v/>
      </c>
    </row>
    <row r="44">
      <c r="A44" s="7" t="inlineStr">
        <is>
          <t>Caja neta del año 5 sin inversiones (S/ nominales)</t>
        </is>
      </c>
      <c r="C44" s="8">
        <f>H36-H30</f>
        <v/>
      </c>
    </row>
    <row r="45">
      <c r="A45" s="7" t="inlineStr">
        <is>
          <t>TIR contando el terreno</t>
        </is>
      </c>
      <c r="C45" s="23">
        <f>IFERROR(IRR(C38:W38),"no aplica")</f>
        <v/>
      </c>
    </row>
  </sheetData>
  <mergeCells count="1">
    <mergeCell ref="A2:L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F. Cancha sintética techada (fulbito)</t>
        </is>
      </c>
    </row>
    <row r="2" ht="30" customHeight="1">
      <c r="A2" s="17" t="inlineStr">
        <is>
          <t>Cancha recreativa de 25 × 15 m (sin franja de seguridad; con franja de 1 m ≈ 25 × 14), techada por la lluvia, con vestuarios y caseta.</t>
        </is>
      </c>
    </row>
    <row r="4">
      <c r="A4" s="18" t="inlineStr">
        <is>
          <t>Fase 1: Cancha sintética techada</t>
        </is>
      </c>
    </row>
    <row r="5">
      <c r="A5" s="20" t="inlineStr">
        <is>
          <t>Partida</t>
        </is>
      </c>
      <c r="B5" s="20" t="inlineStr">
        <is>
          <t>Und.</t>
        </is>
      </c>
      <c r="C5" s="20" t="inlineStr">
        <is>
          <t>Cantidad</t>
        </is>
      </c>
      <c r="D5" s="20" t="inlineStr">
        <is>
          <t>P. unitario</t>
        </is>
      </c>
      <c r="E5" s="20" t="inlineStr">
        <is>
          <t>Parcial</t>
        </is>
      </c>
    </row>
    <row r="6">
      <c r="A6" s="17" t="inlineStr">
        <is>
          <t>Base granular, losa de nivelación y drenaje</t>
        </is>
      </c>
      <c r="B6" t="inlineStr">
        <is>
          <t>m²</t>
        </is>
      </c>
      <c r="C6" s="5" t="n">
        <v>450</v>
      </c>
      <c r="D6" s="6" t="n">
        <v>70</v>
      </c>
      <c r="E6" s="14">
        <f>C6*D6</f>
        <v/>
      </c>
    </row>
    <row r="7">
      <c r="A7" s="17" t="inlineStr">
        <is>
          <t>Grass sintético instalado (25 × 15 m + bandas)</t>
        </is>
      </c>
      <c r="B7" t="inlineStr">
        <is>
          <t>m²</t>
        </is>
      </c>
      <c r="C7" s="5" t="n">
        <v>400</v>
      </c>
      <c r="D7" s="6" t="n">
        <v>115</v>
      </c>
      <c r="E7" s="14">
        <f>C7*D7</f>
        <v/>
      </c>
    </row>
    <row r="8">
      <c r="A8" s="17" t="inlineStr">
        <is>
          <t>Estructura metálica y cobertura TR-4 sobre la cancha</t>
        </is>
      </c>
      <c r="B8" t="inlineStr">
        <is>
          <t>m²</t>
        </is>
      </c>
      <c r="C8" s="5" t="n">
        <v>570</v>
      </c>
      <c r="D8" s="6" t="n">
        <v>330</v>
      </c>
      <c r="E8" s="14">
        <f>C8*D8</f>
        <v/>
      </c>
    </row>
    <row r="9">
      <c r="A9" s="17" t="inlineStr">
        <is>
          <t>Mallas perimetrales, arcos y redes</t>
        </is>
      </c>
      <c r="B9" t="inlineStr">
        <is>
          <t>glb</t>
        </is>
      </c>
      <c r="C9" s="5" t="n">
        <v>1</v>
      </c>
      <c r="D9" s="6" t="n">
        <v>9000</v>
      </c>
      <c r="E9" s="14">
        <f>C9*D9</f>
        <v/>
      </c>
    </row>
    <row r="10">
      <c r="A10" s="17" t="inlineStr">
        <is>
          <t>Iluminación LED (8 kW)</t>
        </is>
      </c>
      <c r="B10" t="inlineStr">
        <is>
          <t>glb</t>
        </is>
      </c>
      <c r="C10" s="5" t="n">
        <v>1</v>
      </c>
      <c r="D10" s="6" t="n">
        <v>14000</v>
      </c>
      <c r="E10" s="14">
        <f>C10*D10</f>
        <v/>
      </c>
    </row>
    <row r="11">
      <c r="A11" s="17" t="inlineStr">
        <is>
          <t>Vestuarios, SS.HH. y caseta (albañilería)</t>
        </is>
      </c>
      <c r="B11" t="inlineStr">
        <is>
          <t>m²</t>
        </is>
      </c>
      <c r="C11" s="5" t="n">
        <v>40</v>
      </c>
      <c r="D11" s="6" t="n">
        <v>1300</v>
      </c>
      <c r="E11" s="14">
        <f>C11*D11</f>
        <v/>
      </c>
    </row>
    <row r="12">
      <c r="A12" s="17" t="inlineStr">
        <is>
          <t>Cerco de albañilería en frentes y portones</t>
        </is>
      </c>
      <c r="B12" t="inlineStr">
        <is>
          <t>ml</t>
        </is>
      </c>
      <c r="C12" s="5" t="n">
        <v>50</v>
      </c>
      <c r="D12" s="6" t="n">
        <v>330</v>
      </c>
      <c r="E12" s="14">
        <f>C12*D12</f>
        <v/>
      </c>
    </row>
    <row r="13">
      <c r="A13" s="17" t="inlineStr">
        <is>
          <t>Expediente y licencias</t>
        </is>
      </c>
      <c r="B13" t="inlineStr">
        <is>
          <t>glb</t>
        </is>
      </c>
      <c r="C13" s="5" t="n">
        <v>1</v>
      </c>
      <c r="D13" s="6" t="n">
        <v>15000</v>
      </c>
      <c r="E13" s="14">
        <f>C13*D13</f>
        <v/>
      </c>
    </row>
    <row r="14">
      <c r="D14" t="inlineStr">
        <is>
          <t>Inversión (con imprevistos y factor de escenario)</t>
        </is>
      </c>
      <c r="E14" s="8">
        <f>SUM(E6:E13)*(1+Supuestos!$B$6)*Supuestos!$B$22</f>
        <v/>
      </c>
    </row>
    <row r="15">
      <c r="D15" t="inlineStr">
        <is>
          <t>Año de inversión (opera desde el año siguiente)</t>
        </is>
      </c>
      <c r="E15" s="19" t="n">
        <v>0</v>
      </c>
    </row>
    <row r="16">
      <c r="D16" t="inlineStr">
        <is>
          <t>Ingreso bruto potencial S/ por mes - pesimista</t>
        </is>
      </c>
      <c r="E16" s="6" t="n">
        <v>2700</v>
      </c>
    </row>
    <row r="17">
      <c r="D17" t="inlineStr">
        <is>
          <t>Ingreso bruto potencial S/ por mes - base</t>
        </is>
      </c>
      <c r="E17" s="6" t="n">
        <v>3750</v>
      </c>
    </row>
    <row r="18">
      <c r="D18" t="inlineStr">
        <is>
          <t>Ingreso bruto potencial S/ por mes - optimista</t>
        </is>
      </c>
      <c r="E18" s="6" t="n">
        <v>5775</v>
      </c>
    </row>
    <row r="19">
      <c r="D19" t="inlineStr">
        <is>
          <t>Ocupación cobrada - pesimista</t>
        </is>
      </c>
      <c r="E19" s="3" t="n">
        <v>1</v>
      </c>
    </row>
    <row r="20">
      <c r="D20" t="inlineStr">
        <is>
          <t>Ocupación cobrada - base</t>
        </is>
      </c>
      <c r="E20" s="3" t="n">
        <v>1</v>
      </c>
    </row>
    <row r="21">
      <c r="D21" t="inlineStr">
        <is>
          <t>Ocupación cobrada - optimista</t>
        </is>
      </c>
      <c r="E21" s="3" t="n">
        <v>1</v>
      </c>
    </row>
    <row r="22">
      <c r="D22" t="inlineStr">
        <is>
          <t>Gastos fijos S/ por año (personal, energía, mantenimiento, seguro, predial)</t>
        </is>
      </c>
      <c r="E22" s="6" t="n">
        <v>30645.4</v>
      </c>
    </row>
    <row r="23">
      <c r="D23" t="inlineStr">
        <is>
          <t>Gastos variables (% del ingreso cobrado)</t>
        </is>
      </c>
      <c r="E23" s="3" t="n">
        <v>0</v>
      </c>
    </row>
    <row r="24">
      <c r="D24" t="inlineStr">
        <is>
          <t>Impuestos (% del ingreso cobrado)</t>
        </is>
      </c>
      <c r="E24" s="3" t="n">
        <v>0</v>
      </c>
    </row>
    <row r="25">
      <c r="D25" t="inlineStr">
        <is>
          <t>Ingreso relativo 1.er año de operación</t>
        </is>
      </c>
      <c r="E25" s="3" t="n">
        <v>0.7</v>
      </c>
    </row>
    <row r="26">
      <c r="D26" t="inlineStr">
        <is>
          <t>Ingreso relativo 2.º año de operación</t>
        </is>
      </c>
      <c r="E26" s="3" t="n">
        <v>0.9</v>
      </c>
    </row>
    <row r="27">
      <c r="D27" t="inlineStr">
        <is>
          <t>Vida útil para valor residual (años)</t>
        </is>
      </c>
      <c r="E27" s="19" t="n">
        <v>30</v>
      </c>
    </row>
    <row r="28">
      <c r="D28" t="inlineStr">
        <is>
          <t>Reposición 1: años después de invertir</t>
        </is>
      </c>
      <c r="E28" s="19" t="n">
        <v>9</v>
      </c>
    </row>
    <row r="29">
      <c r="D29" t="inlineStr">
        <is>
          <t>Reposición 1: monto a precios de hoy</t>
        </is>
      </c>
      <c r="E29" s="6" t="n">
        <v>50600.00000000001</v>
      </c>
    </row>
    <row r="30">
      <c r="D30" t="inlineStr">
        <is>
          <t>Reposición 2: años después de invertir</t>
        </is>
      </c>
      <c r="E30" s="19" t="n">
        <v>18</v>
      </c>
    </row>
    <row r="31">
      <c r="D31" t="inlineStr">
        <is>
          <t>Reposición 2: monto a precios de hoy</t>
        </is>
      </c>
      <c r="E31" s="6" t="n">
        <v>50600.00000000001</v>
      </c>
    </row>
    <row r="33">
      <c r="A33" s="7" t="inlineStr">
        <is>
          <t>FLUJO DE CAJA (S/ nominales)</t>
        </is>
      </c>
    </row>
    <row r="34">
      <c r="A34" s="20" t="inlineStr">
        <is>
          <t>Concepto / año</t>
        </is>
      </c>
      <c r="C34" s="20" t="n">
        <v>0</v>
      </c>
      <c r="D34" s="20" t="n">
        <v>1</v>
      </c>
      <c r="E34" s="20" t="n">
        <v>2</v>
      </c>
      <c r="F34" s="20" t="n">
        <v>3</v>
      </c>
      <c r="G34" s="20" t="n">
        <v>4</v>
      </c>
      <c r="H34" s="20" t="n">
        <v>5</v>
      </c>
      <c r="I34" s="20" t="n">
        <v>6</v>
      </c>
      <c r="J34" s="20" t="n">
        <v>7</v>
      </c>
      <c r="K34" s="20" t="n">
        <v>8</v>
      </c>
      <c r="L34" s="20" t="n">
        <v>9</v>
      </c>
      <c r="M34" s="20" t="n">
        <v>10</v>
      </c>
      <c r="N34" s="20" t="n">
        <v>11</v>
      </c>
      <c r="O34" s="20" t="n">
        <v>12</v>
      </c>
      <c r="P34" s="20" t="n">
        <v>13</v>
      </c>
      <c r="Q34" s="20" t="n">
        <v>14</v>
      </c>
      <c r="R34" s="20" t="n">
        <v>15</v>
      </c>
      <c r="S34" s="20" t="n">
        <v>16</v>
      </c>
      <c r="T34" s="20" t="n">
        <v>17</v>
      </c>
      <c r="U34" s="20" t="n">
        <v>18</v>
      </c>
      <c r="V34" s="20" t="n">
        <v>19</v>
      </c>
      <c r="W34" s="20" t="n">
        <v>20</v>
      </c>
    </row>
    <row r="35">
      <c r="A35" s="21" t="inlineStr">
        <is>
          <t xml:space="preserve">  Inversión - fase 1</t>
        </is>
      </c>
      <c r="C35" s="14">
        <f>IF(C$34=$E$15,-$E$14*(1+Supuestos!$B$5)^MAX($E$15-1,0),0)</f>
        <v/>
      </c>
      <c r="D35" s="14">
        <f>IF(D$34=$E$15,-$E$14*(1+Supuestos!$B$5)^MAX($E$15-1,0),0)</f>
        <v/>
      </c>
      <c r="E35" s="14">
        <f>IF(E$34=$E$15,-$E$14*(1+Supuestos!$B$5)^MAX($E$15-1,0),0)</f>
        <v/>
      </c>
      <c r="F35" s="14">
        <f>IF(F$34=$E$15,-$E$14*(1+Supuestos!$B$5)^MAX($E$15-1,0),0)</f>
        <v/>
      </c>
      <c r="G35" s="14">
        <f>IF(G$34=$E$15,-$E$14*(1+Supuestos!$B$5)^MAX($E$15-1,0),0)</f>
        <v/>
      </c>
      <c r="H35" s="14">
        <f>IF(H$34=$E$15,-$E$14*(1+Supuestos!$B$5)^MAX($E$15-1,0),0)</f>
        <v/>
      </c>
      <c r="I35" s="14">
        <f>IF(I$34=$E$15,-$E$14*(1+Supuestos!$B$5)^MAX($E$15-1,0),0)</f>
        <v/>
      </c>
      <c r="J35" s="14">
        <f>IF(J$34=$E$15,-$E$14*(1+Supuestos!$B$5)^MAX($E$15-1,0),0)</f>
        <v/>
      </c>
      <c r="K35" s="14">
        <f>IF(K$34=$E$15,-$E$14*(1+Supuestos!$B$5)^MAX($E$15-1,0),0)</f>
        <v/>
      </c>
      <c r="L35" s="14">
        <f>IF(L$34=$E$15,-$E$14*(1+Supuestos!$B$5)^MAX($E$15-1,0),0)</f>
        <v/>
      </c>
      <c r="M35" s="14">
        <f>IF(M$34=$E$15,-$E$14*(1+Supuestos!$B$5)^MAX($E$15-1,0),0)</f>
        <v/>
      </c>
      <c r="N35" s="14">
        <f>IF(N$34=$E$15,-$E$14*(1+Supuestos!$B$5)^MAX($E$15-1,0),0)</f>
        <v/>
      </c>
      <c r="O35" s="14">
        <f>IF(O$34=$E$15,-$E$14*(1+Supuestos!$B$5)^MAX($E$15-1,0),0)</f>
        <v/>
      </c>
      <c r="P35" s="14">
        <f>IF(P$34=$E$15,-$E$14*(1+Supuestos!$B$5)^MAX($E$15-1,0),0)</f>
        <v/>
      </c>
      <c r="Q35" s="14">
        <f>IF(Q$34=$E$15,-$E$14*(1+Supuestos!$B$5)^MAX($E$15-1,0),0)</f>
        <v/>
      </c>
      <c r="R35" s="14">
        <f>IF(R$34=$E$15,-$E$14*(1+Supuestos!$B$5)^MAX($E$15-1,0),0)</f>
        <v/>
      </c>
      <c r="S35" s="14">
        <f>IF(S$34=$E$15,-$E$14*(1+Supuestos!$B$5)^MAX($E$15-1,0),0)</f>
        <v/>
      </c>
      <c r="T35" s="14">
        <f>IF(T$34=$E$15,-$E$14*(1+Supuestos!$B$5)^MAX($E$15-1,0),0)</f>
        <v/>
      </c>
      <c r="U35" s="14">
        <f>IF(U$34=$E$15,-$E$14*(1+Supuestos!$B$5)^MAX($E$15-1,0),0)</f>
        <v/>
      </c>
      <c r="V35" s="14">
        <f>IF(V$34=$E$15,-$E$14*(1+Supuestos!$B$5)^MAX($E$15-1,0),0)</f>
        <v/>
      </c>
      <c r="W35" s="14">
        <f>IF(W$34=$E$15,-$E$14*(1+Supuestos!$B$5)^MAX($E$15-1,0),0)</f>
        <v/>
      </c>
    </row>
    <row r="36">
      <c r="A36" s="21" t="inlineStr">
        <is>
          <t xml:space="preserve">  Ingresos cobrados - fase 1</t>
        </is>
      </c>
      <c r="C36" s="14">
        <f>IF((C$34-$E$15)&gt;=1,CHOOSE(Supuestos!$B$3,$E$16,$E$17,$E$18)*12*CHOOSE(Supuestos!$B$3,$E$19,$E$20,$E$21)*IF((C$34-$E$15)=1,$E$25,IF((C$34-$E$15)=2,$E$26,1))*(1+Supuestos!$B$5)^MAX(C$34-1,0),0)</f>
        <v/>
      </c>
      <c r="D36" s="14">
        <f>IF((D$34-$E$15)&gt;=1,CHOOSE(Supuestos!$B$3,$E$16,$E$17,$E$18)*12*CHOOSE(Supuestos!$B$3,$E$19,$E$20,$E$21)*IF((D$34-$E$15)=1,$E$25,IF((D$34-$E$15)=2,$E$26,1))*(1+Supuestos!$B$5)^MAX(D$34-1,0),0)</f>
        <v/>
      </c>
      <c r="E36" s="14">
        <f>IF((E$34-$E$15)&gt;=1,CHOOSE(Supuestos!$B$3,$E$16,$E$17,$E$18)*12*CHOOSE(Supuestos!$B$3,$E$19,$E$20,$E$21)*IF((E$34-$E$15)=1,$E$25,IF((E$34-$E$15)=2,$E$26,1))*(1+Supuestos!$B$5)^MAX(E$34-1,0),0)</f>
        <v/>
      </c>
      <c r="F36" s="14">
        <f>IF((F$34-$E$15)&gt;=1,CHOOSE(Supuestos!$B$3,$E$16,$E$17,$E$18)*12*CHOOSE(Supuestos!$B$3,$E$19,$E$20,$E$21)*IF((F$34-$E$15)=1,$E$25,IF((F$34-$E$15)=2,$E$26,1))*(1+Supuestos!$B$5)^MAX(F$34-1,0),0)</f>
        <v/>
      </c>
      <c r="G36" s="14">
        <f>IF((G$34-$E$15)&gt;=1,CHOOSE(Supuestos!$B$3,$E$16,$E$17,$E$18)*12*CHOOSE(Supuestos!$B$3,$E$19,$E$20,$E$21)*IF((G$34-$E$15)=1,$E$25,IF((G$34-$E$15)=2,$E$26,1))*(1+Supuestos!$B$5)^MAX(G$34-1,0),0)</f>
        <v/>
      </c>
      <c r="H36" s="14">
        <f>IF((H$34-$E$15)&gt;=1,CHOOSE(Supuestos!$B$3,$E$16,$E$17,$E$18)*12*CHOOSE(Supuestos!$B$3,$E$19,$E$20,$E$21)*IF((H$34-$E$15)=1,$E$25,IF((H$34-$E$15)=2,$E$26,1))*(1+Supuestos!$B$5)^MAX(H$34-1,0),0)</f>
        <v/>
      </c>
      <c r="I36" s="14">
        <f>IF((I$34-$E$15)&gt;=1,CHOOSE(Supuestos!$B$3,$E$16,$E$17,$E$18)*12*CHOOSE(Supuestos!$B$3,$E$19,$E$20,$E$21)*IF((I$34-$E$15)=1,$E$25,IF((I$34-$E$15)=2,$E$26,1))*(1+Supuestos!$B$5)^MAX(I$34-1,0),0)</f>
        <v/>
      </c>
      <c r="J36" s="14">
        <f>IF((J$34-$E$15)&gt;=1,CHOOSE(Supuestos!$B$3,$E$16,$E$17,$E$18)*12*CHOOSE(Supuestos!$B$3,$E$19,$E$20,$E$21)*IF((J$34-$E$15)=1,$E$25,IF((J$34-$E$15)=2,$E$26,1))*(1+Supuestos!$B$5)^MAX(J$34-1,0),0)</f>
        <v/>
      </c>
      <c r="K36" s="14">
        <f>IF((K$34-$E$15)&gt;=1,CHOOSE(Supuestos!$B$3,$E$16,$E$17,$E$18)*12*CHOOSE(Supuestos!$B$3,$E$19,$E$20,$E$21)*IF((K$34-$E$15)=1,$E$25,IF((K$34-$E$15)=2,$E$26,1))*(1+Supuestos!$B$5)^MAX(K$34-1,0),0)</f>
        <v/>
      </c>
      <c r="L36" s="14">
        <f>IF((L$34-$E$15)&gt;=1,CHOOSE(Supuestos!$B$3,$E$16,$E$17,$E$18)*12*CHOOSE(Supuestos!$B$3,$E$19,$E$20,$E$21)*IF((L$34-$E$15)=1,$E$25,IF((L$34-$E$15)=2,$E$26,1))*(1+Supuestos!$B$5)^MAX(L$34-1,0),0)</f>
        <v/>
      </c>
      <c r="M36" s="14">
        <f>IF((M$34-$E$15)&gt;=1,CHOOSE(Supuestos!$B$3,$E$16,$E$17,$E$18)*12*CHOOSE(Supuestos!$B$3,$E$19,$E$20,$E$21)*IF((M$34-$E$15)=1,$E$25,IF((M$34-$E$15)=2,$E$26,1))*(1+Supuestos!$B$5)^MAX(M$34-1,0),0)</f>
        <v/>
      </c>
      <c r="N36" s="14">
        <f>IF((N$34-$E$15)&gt;=1,CHOOSE(Supuestos!$B$3,$E$16,$E$17,$E$18)*12*CHOOSE(Supuestos!$B$3,$E$19,$E$20,$E$21)*IF((N$34-$E$15)=1,$E$25,IF((N$34-$E$15)=2,$E$26,1))*(1+Supuestos!$B$5)^MAX(N$34-1,0),0)</f>
        <v/>
      </c>
      <c r="O36" s="14">
        <f>IF((O$34-$E$15)&gt;=1,CHOOSE(Supuestos!$B$3,$E$16,$E$17,$E$18)*12*CHOOSE(Supuestos!$B$3,$E$19,$E$20,$E$21)*IF((O$34-$E$15)=1,$E$25,IF((O$34-$E$15)=2,$E$26,1))*(1+Supuestos!$B$5)^MAX(O$34-1,0),0)</f>
        <v/>
      </c>
      <c r="P36" s="14">
        <f>IF((P$34-$E$15)&gt;=1,CHOOSE(Supuestos!$B$3,$E$16,$E$17,$E$18)*12*CHOOSE(Supuestos!$B$3,$E$19,$E$20,$E$21)*IF((P$34-$E$15)=1,$E$25,IF((P$34-$E$15)=2,$E$26,1))*(1+Supuestos!$B$5)^MAX(P$34-1,0),0)</f>
        <v/>
      </c>
      <c r="Q36" s="14">
        <f>IF((Q$34-$E$15)&gt;=1,CHOOSE(Supuestos!$B$3,$E$16,$E$17,$E$18)*12*CHOOSE(Supuestos!$B$3,$E$19,$E$20,$E$21)*IF((Q$34-$E$15)=1,$E$25,IF((Q$34-$E$15)=2,$E$26,1))*(1+Supuestos!$B$5)^MAX(Q$34-1,0),0)</f>
        <v/>
      </c>
      <c r="R36" s="14">
        <f>IF((R$34-$E$15)&gt;=1,CHOOSE(Supuestos!$B$3,$E$16,$E$17,$E$18)*12*CHOOSE(Supuestos!$B$3,$E$19,$E$20,$E$21)*IF((R$34-$E$15)=1,$E$25,IF((R$34-$E$15)=2,$E$26,1))*(1+Supuestos!$B$5)^MAX(R$34-1,0),0)</f>
        <v/>
      </c>
      <c r="S36" s="14">
        <f>IF((S$34-$E$15)&gt;=1,CHOOSE(Supuestos!$B$3,$E$16,$E$17,$E$18)*12*CHOOSE(Supuestos!$B$3,$E$19,$E$20,$E$21)*IF((S$34-$E$15)=1,$E$25,IF((S$34-$E$15)=2,$E$26,1))*(1+Supuestos!$B$5)^MAX(S$34-1,0),0)</f>
        <v/>
      </c>
      <c r="T36" s="14">
        <f>IF((T$34-$E$15)&gt;=1,CHOOSE(Supuestos!$B$3,$E$16,$E$17,$E$18)*12*CHOOSE(Supuestos!$B$3,$E$19,$E$20,$E$21)*IF((T$34-$E$15)=1,$E$25,IF((T$34-$E$15)=2,$E$26,1))*(1+Supuestos!$B$5)^MAX(T$34-1,0),0)</f>
        <v/>
      </c>
      <c r="U36" s="14">
        <f>IF((U$34-$E$15)&gt;=1,CHOOSE(Supuestos!$B$3,$E$16,$E$17,$E$18)*12*CHOOSE(Supuestos!$B$3,$E$19,$E$20,$E$21)*IF((U$34-$E$15)=1,$E$25,IF((U$34-$E$15)=2,$E$26,1))*(1+Supuestos!$B$5)^MAX(U$34-1,0),0)</f>
        <v/>
      </c>
      <c r="V36" s="14">
        <f>IF((V$34-$E$15)&gt;=1,CHOOSE(Supuestos!$B$3,$E$16,$E$17,$E$18)*12*CHOOSE(Supuestos!$B$3,$E$19,$E$20,$E$21)*IF((V$34-$E$15)=1,$E$25,IF((V$34-$E$15)=2,$E$26,1))*(1+Supuestos!$B$5)^MAX(V$34-1,0),0)</f>
        <v/>
      </c>
      <c r="W36" s="14">
        <f>IF((W$34-$E$15)&gt;=1,CHOOSE(Supuestos!$B$3,$E$16,$E$17,$E$18)*12*CHOOSE(Supuestos!$B$3,$E$19,$E$20,$E$21)*IF((W$34-$E$15)=1,$E$25,IF((W$34-$E$15)=2,$E$26,1))*(1+Supuestos!$B$5)^MAX(W$34-1,0),0)</f>
        <v/>
      </c>
    </row>
    <row r="37">
      <c r="A37" s="21" t="inlineStr">
        <is>
          <t xml:space="preserve">  Gastos - fase 1</t>
        </is>
      </c>
      <c r="C37" s="14">
        <f>IF((C$34-$E$15)&gt;=1,-$E$22*(1+Supuestos!$B$5)^MAX(C$34-1,0)-$E$23*C36,0)</f>
        <v/>
      </c>
      <c r="D37" s="14">
        <f>IF((D$34-$E$15)&gt;=1,-$E$22*(1+Supuestos!$B$5)^MAX(D$34-1,0)-$E$23*D36,0)</f>
        <v/>
      </c>
      <c r="E37" s="14">
        <f>IF((E$34-$E$15)&gt;=1,-$E$22*(1+Supuestos!$B$5)^MAX(E$34-1,0)-$E$23*E36,0)</f>
        <v/>
      </c>
      <c r="F37" s="14">
        <f>IF((F$34-$E$15)&gt;=1,-$E$22*(1+Supuestos!$B$5)^MAX(F$34-1,0)-$E$23*F36,0)</f>
        <v/>
      </c>
      <c r="G37" s="14">
        <f>IF((G$34-$E$15)&gt;=1,-$E$22*(1+Supuestos!$B$5)^MAX(G$34-1,0)-$E$23*G36,0)</f>
        <v/>
      </c>
      <c r="H37" s="14">
        <f>IF((H$34-$E$15)&gt;=1,-$E$22*(1+Supuestos!$B$5)^MAX(H$34-1,0)-$E$23*H36,0)</f>
        <v/>
      </c>
      <c r="I37" s="14">
        <f>IF((I$34-$E$15)&gt;=1,-$E$22*(1+Supuestos!$B$5)^MAX(I$34-1,0)-$E$23*I36,0)</f>
        <v/>
      </c>
      <c r="J37" s="14">
        <f>IF((J$34-$E$15)&gt;=1,-$E$22*(1+Supuestos!$B$5)^MAX(J$34-1,0)-$E$23*J36,0)</f>
        <v/>
      </c>
      <c r="K37" s="14">
        <f>IF((K$34-$E$15)&gt;=1,-$E$22*(1+Supuestos!$B$5)^MAX(K$34-1,0)-$E$23*K36,0)</f>
        <v/>
      </c>
      <c r="L37" s="14">
        <f>IF((L$34-$E$15)&gt;=1,-$E$22*(1+Supuestos!$B$5)^MAX(L$34-1,0)-$E$23*L36,0)</f>
        <v/>
      </c>
      <c r="M37" s="14">
        <f>IF((M$34-$E$15)&gt;=1,-$E$22*(1+Supuestos!$B$5)^MAX(M$34-1,0)-$E$23*M36,0)</f>
        <v/>
      </c>
      <c r="N37" s="14">
        <f>IF((N$34-$E$15)&gt;=1,-$E$22*(1+Supuestos!$B$5)^MAX(N$34-1,0)-$E$23*N36,0)</f>
        <v/>
      </c>
      <c r="O37" s="14">
        <f>IF((O$34-$E$15)&gt;=1,-$E$22*(1+Supuestos!$B$5)^MAX(O$34-1,0)-$E$23*O36,0)</f>
        <v/>
      </c>
      <c r="P37" s="14">
        <f>IF((P$34-$E$15)&gt;=1,-$E$22*(1+Supuestos!$B$5)^MAX(P$34-1,0)-$E$23*P36,0)</f>
        <v/>
      </c>
      <c r="Q37" s="14">
        <f>IF((Q$34-$E$15)&gt;=1,-$E$22*(1+Supuestos!$B$5)^MAX(Q$34-1,0)-$E$23*Q36,0)</f>
        <v/>
      </c>
      <c r="R37" s="14">
        <f>IF((R$34-$E$15)&gt;=1,-$E$22*(1+Supuestos!$B$5)^MAX(R$34-1,0)-$E$23*R36,0)</f>
        <v/>
      </c>
      <c r="S37" s="14">
        <f>IF((S$34-$E$15)&gt;=1,-$E$22*(1+Supuestos!$B$5)^MAX(S$34-1,0)-$E$23*S36,0)</f>
        <v/>
      </c>
      <c r="T37" s="14">
        <f>IF((T$34-$E$15)&gt;=1,-$E$22*(1+Supuestos!$B$5)^MAX(T$34-1,0)-$E$23*T36,0)</f>
        <v/>
      </c>
      <c r="U37" s="14">
        <f>IF((U$34-$E$15)&gt;=1,-$E$22*(1+Supuestos!$B$5)^MAX(U$34-1,0)-$E$23*U36,0)</f>
        <v/>
      </c>
      <c r="V37" s="14">
        <f>IF((V$34-$E$15)&gt;=1,-$E$22*(1+Supuestos!$B$5)^MAX(V$34-1,0)-$E$23*V36,0)</f>
        <v/>
      </c>
      <c r="W37" s="14">
        <f>IF((W$34-$E$15)&gt;=1,-$E$22*(1+Supuestos!$B$5)^MAX(W$34-1,0)-$E$23*W36,0)</f>
        <v/>
      </c>
    </row>
    <row r="38">
      <c r="A38" s="21" t="inlineStr">
        <is>
          <t xml:space="preserve">  Impuestos - fase 1</t>
        </is>
      </c>
      <c r="C38" s="14">
        <f>-$E$24*C36</f>
        <v/>
      </c>
      <c r="D38" s="14">
        <f>-$E$24*D36</f>
        <v/>
      </c>
      <c r="E38" s="14">
        <f>-$E$24*E36</f>
        <v/>
      </c>
      <c r="F38" s="14">
        <f>-$E$24*F36</f>
        <v/>
      </c>
      <c r="G38" s="14">
        <f>-$E$24*G36</f>
        <v/>
      </c>
      <c r="H38" s="14">
        <f>-$E$24*H36</f>
        <v/>
      </c>
      <c r="I38" s="14">
        <f>-$E$24*I36</f>
        <v/>
      </c>
      <c r="J38" s="14">
        <f>-$E$24*J36</f>
        <v/>
      </c>
      <c r="K38" s="14">
        <f>-$E$24*K36</f>
        <v/>
      </c>
      <c r="L38" s="14">
        <f>-$E$24*L36</f>
        <v/>
      </c>
      <c r="M38" s="14">
        <f>-$E$24*M36</f>
        <v/>
      </c>
      <c r="N38" s="14">
        <f>-$E$24*N36</f>
        <v/>
      </c>
      <c r="O38" s="14">
        <f>-$E$24*O36</f>
        <v/>
      </c>
      <c r="P38" s="14">
        <f>-$E$24*P36</f>
        <v/>
      </c>
      <c r="Q38" s="14">
        <f>-$E$24*Q36</f>
        <v/>
      </c>
      <c r="R38" s="14">
        <f>-$E$24*R36</f>
        <v/>
      </c>
      <c r="S38" s="14">
        <f>-$E$24*S36</f>
        <v/>
      </c>
      <c r="T38" s="14">
        <f>-$E$24*T36</f>
        <v/>
      </c>
      <c r="U38" s="14">
        <f>-$E$24*U36</f>
        <v/>
      </c>
      <c r="V38" s="14">
        <f>-$E$24*V36</f>
        <v/>
      </c>
      <c r="W38" s="14">
        <f>-$E$24*W36</f>
        <v/>
      </c>
    </row>
    <row r="39">
      <c r="A39" s="21" t="inlineStr">
        <is>
          <t xml:space="preserve">  Reposiciones - fase 1</t>
        </is>
      </c>
      <c r="C39" s="14">
        <f>IF((C$34-$E$15)=$E$28,-$E$29*(1+Supuestos!$B$5)^MAX(C$34-1,0)*Supuestos!$B$22,0)+IF((C$34-$E$15)=$E$30,-$E$31*(1+Supuestos!$B$5)^MAX(C$34-1,0)*Supuestos!$B$22,0)</f>
        <v/>
      </c>
      <c r="D39" s="14">
        <f>IF((D$34-$E$15)=$E$28,-$E$29*(1+Supuestos!$B$5)^MAX(D$34-1,0)*Supuestos!$B$22,0)+IF((D$34-$E$15)=$E$30,-$E$31*(1+Supuestos!$B$5)^MAX(D$34-1,0)*Supuestos!$B$22,0)</f>
        <v/>
      </c>
      <c r="E39" s="14">
        <f>IF((E$34-$E$15)=$E$28,-$E$29*(1+Supuestos!$B$5)^MAX(E$34-1,0)*Supuestos!$B$22,0)+IF((E$34-$E$15)=$E$30,-$E$31*(1+Supuestos!$B$5)^MAX(E$34-1,0)*Supuestos!$B$22,0)</f>
        <v/>
      </c>
      <c r="F39" s="14">
        <f>IF((F$34-$E$15)=$E$28,-$E$29*(1+Supuestos!$B$5)^MAX(F$34-1,0)*Supuestos!$B$22,0)+IF((F$34-$E$15)=$E$30,-$E$31*(1+Supuestos!$B$5)^MAX(F$34-1,0)*Supuestos!$B$22,0)</f>
        <v/>
      </c>
      <c r="G39" s="14">
        <f>IF((G$34-$E$15)=$E$28,-$E$29*(1+Supuestos!$B$5)^MAX(G$34-1,0)*Supuestos!$B$22,0)+IF((G$34-$E$15)=$E$30,-$E$31*(1+Supuestos!$B$5)^MAX(G$34-1,0)*Supuestos!$B$22,0)</f>
        <v/>
      </c>
      <c r="H39" s="14">
        <f>IF((H$34-$E$15)=$E$28,-$E$29*(1+Supuestos!$B$5)^MAX(H$34-1,0)*Supuestos!$B$22,0)+IF((H$34-$E$15)=$E$30,-$E$31*(1+Supuestos!$B$5)^MAX(H$34-1,0)*Supuestos!$B$22,0)</f>
        <v/>
      </c>
      <c r="I39" s="14">
        <f>IF((I$34-$E$15)=$E$28,-$E$29*(1+Supuestos!$B$5)^MAX(I$34-1,0)*Supuestos!$B$22,0)+IF((I$34-$E$15)=$E$30,-$E$31*(1+Supuestos!$B$5)^MAX(I$34-1,0)*Supuestos!$B$22,0)</f>
        <v/>
      </c>
      <c r="J39" s="14">
        <f>IF((J$34-$E$15)=$E$28,-$E$29*(1+Supuestos!$B$5)^MAX(J$34-1,0)*Supuestos!$B$22,0)+IF((J$34-$E$15)=$E$30,-$E$31*(1+Supuestos!$B$5)^MAX(J$34-1,0)*Supuestos!$B$22,0)</f>
        <v/>
      </c>
      <c r="K39" s="14">
        <f>IF((K$34-$E$15)=$E$28,-$E$29*(1+Supuestos!$B$5)^MAX(K$34-1,0)*Supuestos!$B$22,0)+IF((K$34-$E$15)=$E$30,-$E$31*(1+Supuestos!$B$5)^MAX(K$34-1,0)*Supuestos!$B$22,0)</f>
        <v/>
      </c>
      <c r="L39" s="14">
        <f>IF((L$34-$E$15)=$E$28,-$E$29*(1+Supuestos!$B$5)^MAX(L$34-1,0)*Supuestos!$B$22,0)+IF((L$34-$E$15)=$E$30,-$E$31*(1+Supuestos!$B$5)^MAX(L$34-1,0)*Supuestos!$B$22,0)</f>
        <v/>
      </c>
      <c r="M39" s="14">
        <f>IF((M$34-$E$15)=$E$28,-$E$29*(1+Supuestos!$B$5)^MAX(M$34-1,0)*Supuestos!$B$22,0)+IF((M$34-$E$15)=$E$30,-$E$31*(1+Supuestos!$B$5)^MAX(M$34-1,0)*Supuestos!$B$22,0)</f>
        <v/>
      </c>
      <c r="N39" s="14">
        <f>IF((N$34-$E$15)=$E$28,-$E$29*(1+Supuestos!$B$5)^MAX(N$34-1,0)*Supuestos!$B$22,0)+IF((N$34-$E$15)=$E$30,-$E$31*(1+Supuestos!$B$5)^MAX(N$34-1,0)*Supuestos!$B$22,0)</f>
        <v/>
      </c>
      <c r="O39" s="14">
        <f>IF((O$34-$E$15)=$E$28,-$E$29*(1+Supuestos!$B$5)^MAX(O$34-1,0)*Supuestos!$B$22,0)+IF((O$34-$E$15)=$E$30,-$E$31*(1+Supuestos!$B$5)^MAX(O$34-1,0)*Supuestos!$B$22,0)</f>
        <v/>
      </c>
      <c r="P39" s="14">
        <f>IF((P$34-$E$15)=$E$28,-$E$29*(1+Supuestos!$B$5)^MAX(P$34-1,0)*Supuestos!$B$22,0)+IF((P$34-$E$15)=$E$30,-$E$31*(1+Supuestos!$B$5)^MAX(P$34-1,0)*Supuestos!$B$22,0)</f>
        <v/>
      </c>
      <c r="Q39" s="14">
        <f>IF((Q$34-$E$15)=$E$28,-$E$29*(1+Supuestos!$B$5)^MAX(Q$34-1,0)*Supuestos!$B$22,0)+IF((Q$34-$E$15)=$E$30,-$E$31*(1+Supuestos!$B$5)^MAX(Q$34-1,0)*Supuestos!$B$22,0)</f>
        <v/>
      </c>
      <c r="R39" s="14">
        <f>IF((R$34-$E$15)=$E$28,-$E$29*(1+Supuestos!$B$5)^MAX(R$34-1,0)*Supuestos!$B$22,0)+IF((R$34-$E$15)=$E$30,-$E$31*(1+Supuestos!$B$5)^MAX(R$34-1,0)*Supuestos!$B$22,0)</f>
        <v/>
      </c>
      <c r="S39" s="14">
        <f>IF((S$34-$E$15)=$E$28,-$E$29*(1+Supuestos!$B$5)^MAX(S$34-1,0)*Supuestos!$B$22,0)+IF((S$34-$E$15)=$E$30,-$E$31*(1+Supuestos!$B$5)^MAX(S$34-1,0)*Supuestos!$B$22,0)</f>
        <v/>
      </c>
      <c r="T39" s="14">
        <f>IF((T$34-$E$15)=$E$28,-$E$29*(1+Supuestos!$B$5)^MAX(T$34-1,0)*Supuestos!$B$22,0)+IF((T$34-$E$15)=$E$30,-$E$31*(1+Supuestos!$B$5)^MAX(T$34-1,0)*Supuestos!$B$22,0)</f>
        <v/>
      </c>
      <c r="U39" s="14">
        <f>IF((U$34-$E$15)=$E$28,-$E$29*(1+Supuestos!$B$5)^MAX(U$34-1,0)*Supuestos!$B$22,0)+IF((U$34-$E$15)=$E$30,-$E$31*(1+Supuestos!$B$5)^MAX(U$34-1,0)*Supuestos!$B$22,0)</f>
        <v/>
      </c>
      <c r="V39" s="14">
        <f>IF((V$34-$E$15)=$E$28,-$E$29*(1+Supuestos!$B$5)^MAX(V$34-1,0)*Supuestos!$B$22,0)+IF((V$34-$E$15)=$E$30,-$E$31*(1+Supuestos!$B$5)^MAX(V$34-1,0)*Supuestos!$B$22,0)</f>
        <v/>
      </c>
      <c r="W39" s="14">
        <f>IF((W$34-$E$15)=$E$28,-$E$29*(1+Supuestos!$B$5)^MAX(W$34-1,0)*Supuestos!$B$22,0)+IF((W$34-$E$15)=$E$30,-$E$31*(1+Supuestos!$B$5)^MAX(W$34-1,0)*Supuestos!$B$22,0)</f>
        <v/>
      </c>
    </row>
    <row r="40">
      <c r="A40" s="21" t="inlineStr">
        <is>
          <t xml:space="preserve">  Valor residual (año 20) - fase 1</t>
        </is>
      </c>
      <c r="C40" s="14">
        <f>IF(AND(C$34=20,$E$27&gt;1),$E$14*(1+Supuestos!$B$5)^MAX($E$15-1,0)*MAX(0,1-(20-$E$15)/$E$27),0)</f>
        <v/>
      </c>
      <c r="D40" s="14">
        <f>IF(AND(D$34=20,$E$27&gt;1),$E$14*(1+Supuestos!$B$5)^MAX($E$15-1,0)*MAX(0,1-(20-$E$15)/$E$27),0)</f>
        <v/>
      </c>
      <c r="E40" s="14">
        <f>IF(AND(E$34=20,$E$27&gt;1),$E$14*(1+Supuestos!$B$5)^MAX($E$15-1,0)*MAX(0,1-(20-$E$15)/$E$27),0)</f>
        <v/>
      </c>
      <c r="F40" s="14">
        <f>IF(AND(F$34=20,$E$27&gt;1),$E$14*(1+Supuestos!$B$5)^MAX($E$15-1,0)*MAX(0,1-(20-$E$15)/$E$27),0)</f>
        <v/>
      </c>
      <c r="G40" s="14">
        <f>IF(AND(G$34=20,$E$27&gt;1),$E$14*(1+Supuestos!$B$5)^MAX($E$15-1,0)*MAX(0,1-(20-$E$15)/$E$27),0)</f>
        <v/>
      </c>
      <c r="H40" s="14">
        <f>IF(AND(H$34=20,$E$27&gt;1),$E$14*(1+Supuestos!$B$5)^MAX($E$15-1,0)*MAX(0,1-(20-$E$15)/$E$27),0)</f>
        <v/>
      </c>
      <c r="I40" s="14">
        <f>IF(AND(I$34=20,$E$27&gt;1),$E$14*(1+Supuestos!$B$5)^MAX($E$15-1,0)*MAX(0,1-(20-$E$15)/$E$27),0)</f>
        <v/>
      </c>
      <c r="J40" s="14">
        <f>IF(AND(J$34=20,$E$27&gt;1),$E$14*(1+Supuestos!$B$5)^MAX($E$15-1,0)*MAX(0,1-(20-$E$15)/$E$27),0)</f>
        <v/>
      </c>
      <c r="K40" s="14">
        <f>IF(AND(K$34=20,$E$27&gt;1),$E$14*(1+Supuestos!$B$5)^MAX($E$15-1,0)*MAX(0,1-(20-$E$15)/$E$27),0)</f>
        <v/>
      </c>
      <c r="L40" s="14">
        <f>IF(AND(L$34=20,$E$27&gt;1),$E$14*(1+Supuestos!$B$5)^MAX($E$15-1,0)*MAX(0,1-(20-$E$15)/$E$27),0)</f>
        <v/>
      </c>
      <c r="M40" s="14">
        <f>IF(AND(M$34=20,$E$27&gt;1),$E$14*(1+Supuestos!$B$5)^MAX($E$15-1,0)*MAX(0,1-(20-$E$15)/$E$27),0)</f>
        <v/>
      </c>
      <c r="N40" s="14">
        <f>IF(AND(N$34=20,$E$27&gt;1),$E$14*(1+Supuestos!$B$5)^MAX($E$15-1,0)*MAX(0,1-(20-$E$15)/$E$27),0)</f>
        <v/>
      </c>
      <c r="O40" s="14">
        <f>IF(AND(O$34=20,$E$27&gt;1),$E$14*(1+Supuestos!$B$5)^MAX($E$15-1,0)*MAX(0,1-(20-$E$15)/$E$27),0)</f>
        <v/>
      </c>
      <c r="P40" s="14">
        <f>IF(AND(P$34=20,$E$27&gt;1),$E$14*(1+Supuestos!$B$5)^MAX($E$15-1,0)*MAX(0,1-(20-$E$15)/$E$27),0)</f>
        <v/>
      </c>
      <c r="Q40" s="14">
        <f>IF(AND(Q$34=20,$E$27&gt;1),$E$14*(1+Supuestos!$B$5)^MAX($E$15-1,0)*MAX(0,1-(20-$E$15)/$E$27),0)</f>
        <v/>
      </c>
      <c r="R40" s="14">
        <f>IF(AND(R$34=20,$E$27&gt;1),$E$14*(1+Supuestos!$B$5)^MAX($E$15-1,0)*MAX(0,1-(20-$E$15)/$E$27),0)</f>
        <v/>
      </c>
      <c r="S40" s="14">
        <f>IF(AND(S$34=20,$E$27&gt;1),$E$14*(1+Supuestos!$B$5)^MAX($E$15-1,0)*MAX(0,1-(20-$E$15)/$E$27),0)</f>
        <v/>
      </c>
      <c r="T40" s="14">
        <f>IF(AND(T$34=20,$E$27&gt;1),$E$14*(1+Supuestos!$B$5)^MAX($E$15-1,0)*MAX(0,1-(20-$E$15)/$E$27),0)</f>
        <v/>
      </c>
      <c r="U40" s="14">
        <f>IF(AND(U$34=20,$E$27&gt;1),$E$14*(1+Supuestos!$B$5)^MAX($E$15-1,0)*MAX(0,1-(20-$E$15)/$E$27),0)</f>
        <v/>
      </c>
      <c r="V40" s="14">
        <f>IF(AND(V$34=20,$E$27&gt;1),$E$14*(1+Supuestos!$B$5)^MAX($E$15-1,0)*MAX(0,1-(20-$E$15)/$E$27),0)</f>
        <v/>
      </c>
      <c r="W40" s="14">
        <f>IF(AND(W$34=20,$E$27&gt;1),$E$14*(1+Supuestos!$B$5)^MAX($E$15-1,0)*MAX(0,1-(20-$E$15)/$E$27),0)</f>
        <v/>
      </c>
    </row>
    <row r="41">
      <c r="A41" s="7" t="inlineStr">
        <is>
          <t>Inversión</t>
        </is>
      </c>
      <c r="C41" s="22">
        <f>C35</f>
        <v/>
      </c>
      <c r="D41" s="22">
        <f>D35</f>
        <v/>
      </c>
      <c r="E41" s="22">
        <f>E35</f>
        <v/>
      </c>
      <c r="F41" s="22">
        <f>F35</f>
        <v/>
      </c>
      <c r="G41" s="22">
        <f>G35</f>
        <v/>
      </c>
      <c r="H41" s="22">
        <f>H35</f>
        <v/>
      </c>
      <c r="I41" s="22">
        <f>I35</f>
        <v/>
      </c>
      <c r="J41" s="22">
        <f>J35</f>
        <v/>
      </c>
      <c r="K41" s="22">
        <f>K35</f>
        <v/>
      </c>
      <c r="L41" s="22">
        <f>L35</f>
        <v/>
      </c>
      <c r="M41" s="22">
        <f>M35</f>
        <v/>
      </c>
      <c r="N41" s="22">
        <f>N35</f>
        <v/>
      </c>
      <c r="O41" s="22">
        <f>O35</f>
        <v/>
      </c>
      <c r="P41" s="22">
        <f>P35</f>
        <v/>
      </c>
      <c r="Q41" s="22">
        <f>Q35</f>
        <v/>
      </c>
      <c r="R41" s="22">
        <f>R35</f>
        <v/>
      </c>
      <c r="S41" s="22">
        <f>S35</f>
        <v/>
      </c>
      <c r="T41" s="22">
        <f>T35</f>
        <v/>
      </c>
      <c r="U41" s="22">
        <f>U35</f>
        <v/>
      </c>
      <c r="V41" s="22">
        <f>V35</f>
        <v/>
      </c>
      <c r="W41" s="22">
        <f>W35</f>
        <v/>
      </c>
    </row>
    <row r="42">
      <c r="A42" s="7" t="inlineStr">
        <is>
          <t>Ingresos cobrados</t>
        </is>
      </c>
      <c r="C42" s="22">
        <f>C36</f>
        <v/>
      </c>
      <c r="D42" s="22">
        <f>D36</f>
        <v/>
      </c>
      <c r="E42" s="22">
        <f>E36</f>
        <v/>
      </c>
      <c r="F42" s="22">
        <f>F36</f>
        <v/>
      </c>
      <c r="G42" s="22">
        <f>G36</f>
        <v/>
      </c>
      <c r="H42" s="22">
        <f>H36</f>
        <v/>
      </c>
      <c r="I42" s="22">
        <f>I36</f>
        <v/>
      </c>
      <c r="J42" s="22">
        <f>J36</f>
        <v/>
      </c>
      <c r="K42" s="22">
        <f>K36</f>
        <v/>
      </c>
      <c r="L42" s="22">
        <f>L36</f>
        <v/>
      </c>
      <c r="M42" s="22">
        <f>M36</f>
        <v/>
      </c>
      <c r="N42" s="22">
        <f>N36</f>
        <v/>
      </c>
      <c r="O42" s="22">
        <f>O36</f>
        <v/>
      </c>
      <c r="P42" s="22">
        <f>P36</f>
        <v/>
      </c>
      <c r="Q42" s="22">
        <f>Q36</f>
        <v/>
      </c>
      <c r="R42" s="22">
        <f>R36</f>
        <v/>
      </c>
      <c r="S42" s="22">
        <f>S36</f>
        <v/>
      </c>
      <c r="T42" s="22">
        <f>T36</f>
        <v/>
      </c>
      <c r="U42" s="22">
        <f>U36</f>
        <v/>
      </c>
      <c r="V42" s="22">
        <f>V36</f>
        <v/>
      </c>
      <c r="W42" s="22">
        <f>W36</f>
        <v/>
      </c>
    </row>
    <row r="43">
      <c r="A43" s="7" t="inlineStr">
        <is>
          <t>Gastos</t>
        </is>
      </c>
      <c r="C43" s="22">
        <f>C37</f>
        <v/>
      </c>
      <c r="D43" s="22">
        <f>D37</f>
        <v/>
      </c>
      <c r="E43" s="22">
        <f>E37</f>
        <v/>
      </c>
      <c r="F43" s="22">
        <f>F37</f>
        <v/>
      </c>
      <c r="G43" s="22">
        <f>G37</f>
        <v/>
      </c>
      <c r="H43" s="22">
        <f>H37</f>
        <v/>
      </c>
      <c r="I43" s="22">
        <f>I37</f>
        <v/>
      </c>
      <c r="J43" s="22">
        <f>J37</f>
        <v/>
      </c>
      <c r="K43" s="22">
        <f>K37</f>
        <v/>
      </c>
      <c r="L43" s="22">
        <f>L37</f>
        <v/>
      </c>
      <c r="M43" s="22">
        <f>M37</f>
        <v/>
      </c>
      <c r="N43" s="22">
        <f>N37</f>
        <v/>
      </c>
      <c r="O43" s="22">
        <f>O37</f>
        <v/>
      </c>
      <c r="P43" s="22">
        <f>P37</f>
        <v/>
      </c>
      <c r="Q43" s="22">
        <f>Q37</f>
        <v/>
      </c>
      <c r="R43" s="22">
        <f>R37</f>
        <v/>
      </c>
      <c r="S43" s="22">
        <f>S37</f>
        <v/>
      </c>
      <c r="T43" s="22">
        <f>T37</f>
        <v/>
      </c>
      <c r="U43" s="22">
        <f>U37</f>
        <v/>
      </c>
      <c r="V43" s="22">
        <f>V37</f>
        <v/>
      </c>
      <c r="W43" s="22">
        <f>W37</f>
        <v/>
      </c>
    </row>
    <row r="44">
      <c r="A44" s="7" t="inlineStr">
        <is>
          <t>Impuestos</t>
        </is>
      </c>
      <c r="C44" s="22">
        <f>C38</f>
        <v/>
      </c>
      <c r="D44" s="22">
        <f>D38</f>
        <v/>
      </c>
      <c r="E44" s="22">
        <f>E38</f>
        <v/>
      </c>
      <c r="F44" s="22">
        <f>F38</f>
        <v/>
      </c>
      <c r="G44" s="22">
        <f>G38</f>
        <v/>
      </c>
      <c r="H44" s="22">
        <f>H38</f>
        <v/>
      </c>
      <c r="I44" s="22">
        <f>I38</f>
        <v/>
      </c>
      <c r="J44" s="22">
        <f>J38</f>
        <v/>
      </c>
      <c r="K44" s="22">
        <f>K38</f>
        <v/>
      </c>
      <c r="L44" s="22">
        <f>L38</f>
        <v/>
      </c>
      <c r="M44" s="22">
        <f>M38</f>
        <v/>
      </c>
      <c r="N44" s="22">
        <f>N38</f>
        <v/>
      </c>
      <c r="O44" s="22">
        <f>O38</f>
        <v/>
      </c>
      <c r="P44" s="22">
        <f>P38</f>
        <v/>
      </c>
      <c r="Q44" s="22">
        <f>Q38</f>
        <v/>
      </c>
      <c r="R44" s="22">
        <f>R38</f>
        <v/>
      </c>
      <c r="S44" s="22">
        <f>S38</f>
        <v/>
      </c>
      <c r="T44" s="22">
        <f>T38</f>
        <v/>
      </c>
      <c r="U44" s="22">
        <f>U38</f>
        <v/>
      </c>
      <c r="V44" s="22">
        <f>V38</f>
        <v/>
      </c>
      <c r="W44" s="22">
        <f>W38</f>
        <v/>
      </c>
    </row>
    <row r="45">
      <c r="A45" s="7" t="inlineStr">
        <is>
          <t>Reposiciones</t>
        </is>
      </c>
      <c r="C45" s="22">
        <f>C39</f>
        <v/>
      </c>
      <c r="D45" s="22">
        <f>D39</f>
        <v/>
      </c>
      <c r="E45" s="22">
        <f>E39</f>
        <v/>
      </c>
      <c r="F45" s="22">
        <f>F39</f>
        <v/>
      </c>
      <c r="G45" s="22">
        <f>G39</f>
        <v/>
      </c>
      <c r="H45" s="22">
        <f>H39</f>
        <v/>
      </c>
      <c r="I45" s="22">
        <f>I39</f>
        <v/>
      </c>
      <c r="J45" s="22">
        <f>J39</f>
        <v/>
      </c>
      <c r="K45" s="22">
        <f>K39</f>
        <v/>
      </c>
      <c r="L45" s="22">
        <f>L39</f>
        <v/>
      </c>
      <c r="M45" s="22">
        <f>M39</f>
        <v/>
      </c>
      <c r="N45" s="22">
        <f>N39</f>
        <v/>
      </c>
      <c r="O45" s="22">
        <f>O39</f>
        <v/>
      </c>
      <c r="P45" s="22">
        <f>P39</f>
        <v/>
      </c>
      <c r="Q45" s="22">
        <f>Q39</f>
        <v/>
      </c>
      <c r="R45" s="22">
        <f>R39</f>
        <v/>
      </c>
      <c r="S45" s="22">
        <f>S39</f>
        <v/>
      </c>
      <c r="T45" s="22">
        <f>T39</f>
        <v/>
      </c>
      <c r="U45" s="22">
        <f>U39</f>
        <v/>
      </c>
      <c r="V45" s="22">
        <f>V39</f>
        <v/>
      </c>
      <c r="W45" s="22">
        <f>W39</f>
        <v/>
      </c>
    </row>
    <row r="46">
      <c r="A46" s="7" t="inlineStr">
        <is>
          <t>Valor residual (año 20)</t>
        </is>
      </c>
      <c r="C46" s="22">
        <f>C40</f>
        <v/>
      </c>
      <c r="D46" s="22">
        <f>D40</f>
        <v/>
      </c>
      <c r="E46" s="22">
        <f>E40</f>
        <v/>
      </c>
      <c r="F46" s="22">
        <f>F40</f>
        <v/>
      </c>
      <c r="G46" s="22">
        <f>G40</f>
        <v/>
      </c>
      <c r="H46" s="22">
        <f>H40</f>
        <v/>
      </c>
      <c r="I46" s="22">
        <f>I40</f>
        <v/>
      </c>
      <c r="J46" s="22">
        <f>J40</f>
        <v/>
      </c>
      <c r="K46" s="22">
        <f>K40</f>
        <v/>
      </c>
      <c r="L46" s="22">
        <f>L40</f>
        <v/>
      </c>
      <c r="M46" s="22">
        <f>M40</f>
        <v/>
      </c>
      <c r="N46" s="22">
        <f>N40</f>
        <v/>
      </c>
      <c r="O46" s="22">
        <f>O40</f>
        <v/>
      </c>
      <c r="P46" s="22">
        <f>P40</f>
        <v/>
      </c>
      <c r="Q46" s="22">
        <f>Q40</f>
        <v/>
      </c>
      <c r="R46" s="22">
        <f>R40</f>
        <v/>
      </c>
      <c r="S46" s="22">
        <f>S40</f>
        <v/>
      </c>
      <c r="T46" s="22">
        <f>T40</f>
        <v/>
      </c>
      <c r="U46" s="22">
        <f>U40</f>
        <v/>
      </c>
      <c r="V46" s="22">
        <f>V40</f>
        <v/>
      </c>
      <c r="W46" s="22">
        <f>W40</f>
        <v/>
      </c>
    </row>
    <row r="47">
      <c r="A47" s="7" t="inlineStr">
        <is>
          <t>FLUJO NETO</t>
        </is>
      </c>
      <c r="C47" s="8">
        <f>C41+C42+C43+C44+C45+C46</f>
        <v/>
      </c>
      <c r="D47" s="8">
        <f>D41+D42+D43+D44+D45+D46</f>
        <v/>
      </c>
      <c r="E47" s="8">
        <f>E41+E42+E43+E44+E45+E46</f>
        <v/>
      </c>
      <c r="F47" s="8">
        <f>F41+F42+F43+F44+F45+F46</f>
        <v/>
      </c>
      <c r="G47" s="8">
        <f>G41+G42+G43+G44+G45+G46</f>
        <v/>
      </c>
      <c r="H47" s="8">
        <f>H41+H42+H43+H44+H45+H46</f>
        <v/>
      </c>
      <c r="I47" s="8">
        <f>I41+I42+I43+I44+I45+I46</f>
        <v/>
      </c>
      <c r="J47" s="8">
        <f>J41+J42+J43+J44+J45+J46</f>
        <v/>
      </c>
      <c r="K47" s="8">
        <f>K41+K42+K43+K44+K45+K46</f>
        <v/>
      </c>
      <c r="L47" s="8">
        <f>L41+L42+L43+L44+L45+L46</f>
        <v/>
      </c>
      <c r="M47" s="8">
        <f>M41+M42+M43+M44+M45+M46</f>
        <v/>
      </c>
      <c r="N47" s="8">
        <f>N41+N42+N43+N44+N45+N46</f>
        <v/>
      </c>
      <c r="O47" s="8">
        <f>O41+O42+O43+O44+O45+O46</f>
        <v/>
      </c>
      <c r="P47" s="8">
        <f>P41+P42+P43+P44+P45+P46</f>
        <v/>
      </c>
      <c r="Q47" s="8">
        <f>Q41+Q42+Q43+Q44+Q45+Q46</f>
        <v/>
      </c>
      <c r="R47" s="8">
        <f>R41+R42+R43+R44+R45+R46</f>
        <v/>
      </c>
      <c r="S47" s="8">
        <f>S41+S42+S43+S44+S45+S46</f>
        <v/>
      </c>
      <c r="T47" s="8">
        <f>T41+T42+T43+T44+T45+T46</f>
        <v/>
      </c>
      <c r="U47" s="8">
        <f>U41+U42+U43+U44+U45+U46</f>
        <v/>
      </c>
      <c r="V47" s="8">
        <f>V41+V42+V43+V44+V45+V46</f>
        <v/>
      </c>
      <c r="W47" s="8">
        <f>W41+W42+W43+W44+W45+W46</f>
        <v/>
      </c>
    </row>
    <row r="48">
      <c r="A48" s="7" t="inlineStr">
        <is>
          <t>Caja acumulada (sin valor residual)</t>
        </is>
      </c>
      <c r="C48" s="14">
        <f>C47-C46</f>
        <v/>
      </c>
      <c r="D48" s="14">
        <f>C48+D47-D46</f>
        <v/>
      </c>
      <c r="E48" s="14">
        <f>D48+E47-E46</f>
        <v/>
      </c>
      <c r="F48" s="14">
        <f>E48+F47-F46</f>
        <v/>
      </c>
      <c r="G48" s="14">
        <f>F48+G47-G46</f>
        <v/>
      </c>
      <c r="H48" s="14">
        <f>G48+H47-H46</f>
        <v/>
      </c>
      <c r="I48" s="14">
        <f>H48+I47-I46</f>
        <v/>
      </c>
      <c r="J48" s="14">
        <f>I48+J47-J46</f>
        <v/>
      </c>
      <c r="K48" s="14">
        <f>J48+K47-K46</f>
        <v/>
      </c>
      <c r="L48" s="14">
        <f>K48+L47-L46</f>
        <v/>
      </c>
      <c r="M48" s="14">
        <f>L48+M47-M46</f>
        <v/>
      </c>
      <c r="N48" s="14">
        <f>M48+N47-N46</f>
        <v/>
      </c>
      <c r="O48" s="14">
        <f>N48+O47-O46</f>
        <v/>
      </c>
      <c r="P48" s="14">
        <f>O48+P47-P46</f>
        <v/>
      </c>
      <c r="Q48" s="14">
        <f>P48+Q47-Q46</f>
        <v/>
      </c>
      <c r="R48" s="14">
        <f>Q48+R47-R46</f>
        <v/>
      </c>
      <c r="S48" s="14">
        <f>R48+S47-S46</f>
        <v/>
      </c>
      <c r="T48" s="14">
        <f>S48+T47-T46</f>
        <v/>
      </c>
      <c r="U48" s="14">
        <f>T48+U47-U46</f>
        <v/>
      </c>
      <c r="V48" s="14">
        <f>U48+V47-V46</f>
        <v/>
      </c>
      <c r="W48" s="14">
        <f>V48+W47-W46</f>
        <v/>
      </c>
    </row>
    <row r="49">
      <c r="A49" s="7" t="inlineStr">
        <is>
          <t>Flujo del propietario contando el terreno (lo aporta hoy y lo recupera valorizado)</t>
        </is>
      </c>
      <c r="C49" s="14">
        <f>C47-Supuestos!$B$21</f>
        <v/>
      </c>
      <c r="D49" s="14">
        <f>D47</f>
        <v/>
      </c>
      <c r="E49" s="14">
        <f>E47</f>
        <v/>
      </c>
      <c r="F49" s="14">
        <f>F47</f>
        <v/>
      </c>
      <c r="G49" s="14">
        <f>G47</f>
        <v/>
      </c>
      <c r="H49" s="14">
        <f>H47</f>
        <v/>
      </c>
      <c r="I49" s="14">
        <f>I47</f>
        <v/>
      </c>
      <c r="J49" s="14">
        <f>J47</f>
        <v/>
      </c>
      <c r="K49" s="14">
        <f>K47</f>
        <v/>
      </c>
      <c r="L49" s="14">
        <f>L47</f>
        <v/>
      </c>
      <c r="M49" s="14">
        <f>M47</f>
        <v/>
      </c>
      <c r="N49" s="14">
        <f>N47</f>
        <v/>
      </c>
      <c r="O49" s="14">
        <f>O47</f>
        <v/>
      </c>
      <c r="P49" s="14">
        <f>P47</f>
        <v/>
      </c>
      <c r="Q49" s="14">
        <f>Q47</f>
        <v/>
      </c>
      <c r="R49" s="14">
        <f>R47</f>
        <v/>
      </c>
      <c r="S49" s="14">
        <f>S47</f>
        <v/>
      </c>
      <c r="T49" s="14">
        <f>T47</f>
        <v/>
      </c>
      <c r="U49" s="14">
        <f>U47</f>
        <v/>
      </c>
      <c r="V49" s="14">
        <f>V47</f>
        <v/>
      </c>
      <c r="W49" s="14">
        <f>W47+Supuestos!$B$21*(1+Supuestos!$B$23)^20</f>
        <v/>
      </c>
    </row>
    <row r="51">
      <c r="A51" s="7" t="inlineStr">
        <is>
          <t>Inversión total</t>
        </is>
      </c>
      <c r="C51" s="8">
        <f>-SUM(C41:W41)</f>
        <v/>
      </c>
    </row>
    <row r="52">
      <c r="A52" s="7" t="inlineStr">
        <is>
          <t>VAN al 10%</t>
        </is>
      </c>
      <c r="C52" s="8">
        <f>C47+NPV(Supuestos!$B$4,D47:W47)</f>
        <v/>
      </c>
    </row>
    <row r="53">
      <c r="A53" s="7" t="inlineStr">
        <is>
          <t>TIR</t>
        </is>
      </c>
      <c r="C53" s="23">
        <f>IFERROR(IRR(C47:W47),IFERROR(IRR(C47:W47,-0.05),"no aplica"))</f>
        <v/>
      </c>
    </row>
    <row r="54">
      <c r="A54" s="7" t="inlineStr">
        <is>
          <t>Año en que se recupera la inversión (acumulado ≥ 0)</t>
        </is>
      </c>
      <c r="C54" s="24">
        <f>IF(-SUM(C41:W41)=0,"sin inversión",IFERROR(INDEX(C34:W34,MATCH(TRUE,INDEX(C48:W48&gt;=0,0),0)),"no en 20 años"))</f>
        <v/>
      </c>
    </row>
    <row r="55">
      <c r="A55" s="7" t="inlineStr">
        <is>
          <t>Caja neta del año 5 sin inversiones (S/ nominales)</t>
        </is>
      </c>
      <c r="C55" s="8">
        <f>H47-H41</f>
        <v/>
      </c>
    </row>
    <row r="56">
      <c r="A56" s="7" t="inlineStr">
        <is>
          <t>TIR contando el terreno</t>
        </is>
      </c>
      <c r="C56" s="23">
        <f>IFERROR(IRR(C49:W49),"no aplica")</f>
        <v/>
      </c>
    </row>
  </sheetData>
  <mergeCells count="1">
    <mergeCell ref="A2:L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G. Local de eventos (salón de recepciones)</t>
        </is>
      </c>
    </row>
    <row r="2" ht="30" customHeight="1">
      <c r="A2" s="17" t="inlineStr">
        <is>
          <t>Salón techado de 420 m² con cocina de servicio, SS.HH., mobiliario y patio de ingreso.</t>
        </is>
      </c>
    </row>
    <row r="4">
      <c r="A4" s="18" t="inlineStr">
        <is>
          <t>Fase 1: Local de eventos</t>
        </is>
      </c>
    </row>
    <row r="5">
      <c r="A5" s="20" t="inlineStr">
        <is>
          <t>Partida</t>
        </is>
      </c>
      <c r="B5" s="20" t="inlineStr">
        <is>
          <t>Und.</t>
        </is>
      </c>
      <c r="C5" s="20" t="inlineStr">
        <is>
          <t>Cantidad</t>
        </is>
      </c>
      <c r="D5" s="20" t="inlineStr">
        <is>
          <t>P. unitario</t>
        </is>
      </c>
      <c r="E5" s="20" t="inlineStr">
        <is>
          <t>Parcial</t>
        </is>
      </c>
    </row>
    <row r="6">
      <c r="A6" s="17" t="inlineStr">
        <is>
          <t>Salón de 420 m²: estructura metálica, muros, piso cerámico, cielo raso y acústica básica</t>
        </is>
      </c>
      <c r="B6" t="inlineStr">
        <is>
          <t>m²</t>
        </is>
      </c>
      <c r="C6" s="5" t="n">
        <v>420</v>
      </c>
      <c r="D6" s="6" t="n">
        <v>950</v>
      </c>
      <c r="E6" s="14">
        <f>C6*D6</f>
        <v/>
      </c>
    </row>
    <row r="7">
      <c r="A7" s="17" t="inlineStr">
        <is>
          <t>Cocina de servicio, SS.HH. y depósito</t>
        </is>
      </c>
      <c r="B7" t="inlineStr">
        <is>
          <t>m²</t>
        </is>
      </c>
      <c r="C7" s="5" t="n">
        <v>50</v>
      </c>
      <c r="D7" s="6" t="n">
        <v>1400</v>
      </c>
      <c r="E7" s="14">
        <f>C7*D7</f>
        <v/>
      </c>
    </row>
    <row r="8">
      <c r="A8" s="17" t="inlineStr">
        <is>
          <t>Mobiliario, sonido e iluminación decorativa</t>
        </is>
      </c>
      <c r="B8" t="inlineStr">
        <is>
          <t>glb</t>
        </is>
      </c>
      <c r="C8" s="5" t="n">
        <v>1</v>
      </c>
      <c r="D8" s="6" t="n">
        <v>30000</v>
      </c>
      <c r="E8" s="14">
        <f>C8*D8</f>
        <v/>
      </c>
    </row>
    <row r="9">
      <c r="A9" s="17" t="inlineStr">
        <is>
          <t>Patio de ingreso afirmado</t>
        </is>
      </c>
      <c r="B9" t="inlineStr">
        <is>
          <t>m²</t>
        </is>
      </c>
      <c r="C9" s="5" t="n">
        <v>300</v>
      </c>
      <c r="D9" s="6" t="n">
        <v>40</v>
      </c>
      <c r="E9" s="14">
        <f>C9*D9</f>
        <v/>
      </c>
    </row>
    <row r="10">
      <c r="A10" s="17" t="inlineStr">
        <is>
          <t>Expediente, licencias, ITSE previa y aforo</t>
        </is>
      </c>
      <c r="B10" t="inlineStr">
        <is>
          <t>glb</t>
        </is>
      </c>
      <c r="C10" s="5" t="n">
        <v>1</v>
      </c>
      <c r="D10" s="6" t="n">
        <v>18000</v>
      </c>
      <c r="E10" s="14">
        <f>C10*D10</f>
        <v/>
      </c>
    </row>
    <row r="11">
      <c r="D11" t="inlineStr">
        <is>
          <t>Inversión (con imprevistos y factor de escenario)</t>
        </is>
      </c>
      <c r="E11" s="8">
        <f>SUM(E6:E10)*(1+Supuestos!$B$6)*Supuestos!$B$22</f>
        <v/>
      </c>
    </row>
    <row r="12">
      <c r="D12" t="inlineStr">
        <is>
          <t>Año de inversión (opera desde el año siguiente)</t>
        </is>
      </c>
      <c r="E12" s="19" t="n">
        <v>0</v>
      </c>
    </row>
    <row r="13">
      <c r="D13" t="inlineStr">
        <is>
          <t>Ingreso bruto potencial S/ por mes - pesimista</t>
        </is>
      </c>
      <c r="E13" s="6" t="n">
        <v>1200</v>
      </c>
    </row>
    <row r="14">
      <c r="D14" t="inlineStr">
        <is>
          <t>Ingreso bruto potencial S/ por mes - base</t>
        </is>
      </c>
      <c r="E14" s="6" t="n">
        <v>3000</v>
      </c>
    </row>
    <row r="15">
      <c r="D15" t="inlineStr">
        <is>
          <t>Ingreso bruto potencial S/ por mes - optimista</t>
        </is>
      </c>
      <c r="E15" s="6" t="n">
        <v>6000</v>
      </c>
    </row>
    <row r="16">
      <c r="D16" t="inlineStr">
        <is>
          <t>Ocupación cobrada - pesimista</t>
        </is>
      </c>
      <c r="E16" s="3" t="n">
        <v>1</v>
      </c>
    </row>
    <row r="17">
      <c r="D17" t="inlineStr">
        <is>
          <t>Ocupación cobrada - base</t>
        </is>
      </c>
      <c r="E17" s="3" t="n">
        <v>1</v>
      </c>
    </row>
    <row r="18">
      <c r="D18" t="inlineStr">
        <is>
          <t>Ocupación cobrada - optimista</t>
        </is>
      </c>
      <c r="E18" s="3" t="n">
        <v>1</v>
      </c>
    </row>
    <row r="19">
      <c r="D19" t="inlineStr">
        <is>
          <t>Gastos fijos S/ por año (personal, energía, mantenimiento, seguro, predial)</t>
        </is>
      </c>
      <c r="E19" s="6" t="n">
        <v>22300</v>
      </c>
    </row>
    <row r="20">
      <c r="D20" t="inlineStr">
        <is>
          <t>Gastos variables (% del ingreso cobrado)</t>
        </is>
      </c>
      <c r="E20" s="3" t="n">
        <v>0.2</v>
      </c>
    </row>
    <row r="21">
      <c r="D21" t="inlineStr">
        <is>
          <t>Impuestos (% del ingreso cobrado)</t>
        </is>
      </c>
      <c r="E21" s="3" t="n">
        <v>0.1</v>
      </c>
    </row>
    <row r="22">
      <c r="D22" t="inlineStr">
        <is>
          <t>Ingreso relativo 1.er año de operación</t>
        </is>
      </c>
      <c r="E22" s="3" t="n">
        <v>0.6</v>
      </c>
    </row>
    <row r="23">
      <c r="D23" t="inlineStr">
        <is>
          <t>Ingreso relativo 2.º año de operación</t>
        </is>
      </c>
      <c r="E23" s="3" t="n">
        <v>0.85</v>
      </c>
    </row>
    <row r="24">
      <c r="D24" t="inlineStr">
        <is>
          <t>Vida útil para valor residual (años)</t>
        </is>
      </c>
      <c r="E24" s="19" t="n">
        <v>40</v>
      </c>
    </row>
    <row r="26">
      <c r="A26" s="7" t="inlineStr">
        <is>
          <t>FLUJO DE CAJA (S/ nominales)</t>
        </is>
      </c>
    </row>
    <row r="27">
      <c r="A27" s="20" t="inlineStr">
        <is>
          <t>Concepto / año</t>
        </is>
      </c>
      <c r="C27" s="20" t="n">
        <v>0</v>
      </c>
      <c r="D27" s="20" t="n">
        <v>1</v>
      </c>
      <c r="E27" s="20" t="n">
        <v>2</v>
      </c>
      <c r="F27" s="20" t="n">
        <v>3</v>
      </c>
      <c r="G27" s="20" t="n">
        <v>4</v>
      </c>
      <c r="H27" s="20" t="n">
        <v>5</v>
      </c>
      <c r="I27" s="20" t="n">
        <v>6</v>
      </c>
      <c r="J27" s="20" t="n">
        <v>7</v>
      </c>
      <c r="K27" s="20" t="n">
        <v>8</v>
      </c>
      <c r="L27" s="20" t="n">
        <v>9</v>
      </c>
      <c r="M27" s="20" t="n">
        <v>10</v>
      </c>
      <c r="N27" s="20" t="n">
        <v>11</v>
      </c>
      <c r="O27" s="20" t="n">
        <v>12</v>
      </c>
      <c r="P27" s="20" t="n">
        <v>13</v>
      </c>
      <c r="Q27" s="20" t="n">
        <v>14</v>
      </c>
      <c r="R27" s="20" t="n">
        <v>15</v>
      </c>
      <c r="S27" s="20" t="n">
        <v>16</v>
      </c>
      <c r="T27" s="20" t="n">
        <v>17</v>
      </c>
      <c r="U27" s="20" t="n">
        <v>18</v>
      </c>
      <c r="V27" s="20" t="n">
        <v>19</v>
      </c>
      <c r="W27" s="20" t="n">
        <v>20</v>
      </c>
    </row>
    <row r="28">
      <c r="A28" s="21" t="inlineStr">
        <is>
          <t xml:space="preserve">  Inversión - fase 1</t>
        </is>
      </c>
      <c r="C28" s="14">
        <f>IF(C$27=$E$12,-$E$11*(1+Supuestos!$B$5)^MAX($E$12-1,0),0)</f>
        <v/>
      </c>
      <c r="D28" s="14">
        <f>IF(D$27=$E$12,-$E$11*(1+Supuestos!$B$5)^MAX($E$12-1,0),0)</f>
        <v/>
      </c>
      <c r="E28" s="14">
        <f>IF(E$27=$E$12,-$E$11*(1+Supuestos!$B$5)^MAX($E$12-1,0),0)</f>
        <v/>
      </c>
      <c r="F28" s="14">
        <f>IF(F$27=$E$12,-$E$11*(1+Supuestos!$B$5)^MAX($E$12-1,0),0)</f>
        <v/>
      </c>
      <c r="G28" s="14">
        <f>IF(G$27=$E$12,-$E$11*(1+Supuestos!$B$5)^MAX($E$12-1,0),0)</f>
        <v/>
      </c>
      <c r="H28" s="14">
        <f>IF(H$27=$E$12,-$E$11*(1+Supuestos!$B$5)^MAX($E$12-1,0),0)</f>
        <v/>
      </c>
      <c r="I28" s="14">
        <f>IF(I$27=$E$12,-$E$11*(1+Supuestos!$B$5)^MAX($E$12-1,0),0)</f>
        <v/>
      </c>
      <c r="J28" s="14">
        <f>IF(J$27=$E$12,-$E$11*(1+Supuestos!$B$5)^MAX($E$12-1,0),0)</f>
        <v/>
      </c>
      <c r="K28" s="14">
        <f>IF(K$27=$E$12,-$E$11*(1+Supuestos!$B$5)^MAX($E$12-1,0),0)</f>
        <v/>
      </c>
      <c r="L28" s="14">
        <f>IF(L$27=$E$12,-$E$11*(1+Supuestos!$B$5)^MAX($E$12-1,0),0)</f>
        <v/>
      </c>
      <c r="M28" s="14">
        <f>IF(M$27=$E$12,-$E$11*(1+Supuestos!$B$5)^MAX($E$12-1,0),0)</f>
        <v/>
      </c>
      <c r="N28" s="14">
        <f>IF(N$27=$E$12,-$E$11*(1+Supuestos!$B$5)^MAX($E$12-1,0),0)</f>
        <v/>
      </c>
      <c r="O28" s="14">
        <f>IF(O$27=$E$12,-$E$11*(1+Supuestos!$B$5)^MAX($E$12-1,0),0)</f>
        <v/>
      </c>
      <c r="P28" s="14">
        <f>IF(P$27=$E$12,-$E$11*(1+Supuestos!$B$5)^MAX($E$12-1,0),0)</f>
        <v/>
      </c>
      <c r="Q28" s="14">
        <f>IF(Q$27=$E$12,-$E$11*(1+Supuestos!$B$5)^MAX($E$12-1,0),0)</f>
        <v/>
      </c>
      <c r="R28" s="14">
        <f>IF(R$27=$E$12,-$E$11*(1+Supuestos!$B$5)^MAX($E$12-1,0),0)</f>
        <v/>
      </c>
      <c r="S28" s="14">
        <f>IF(S$27=$E$12,-$E$11*(1+Supuestos!$B$5)^MAX($E$12-1,0),0)</f>
        <v/>
      </c>
      <c r="T28" s="14">
        <f>IF(T$27=$E$12,-$E$11*(1+Supuestos!$B$5)^MAX($E$12-1,0),0)</f>
        <v/>
      </c>
      <c r="U28" s="14">
        <f>IF(U$27=$E$12,-$E$11*(1+Supuestos!$B$5)^MAX($E$12-1,0),0)</f>
        <v/>
      </c>
      <c r="V28" s="14">
        <f>IF(V$27=$E$12,-$E$11*(1+Supuestos!$B$5)^MAX($E$12-1,0),0)</f>
        <v/>
      </c>
      <c r="W28" s="14">
        <f>IF(W$27=$E$12,-$E$11*(1+Supuestos!$B$5)^MAX($E$12-1,0),0)</f>
        <v/>
      </c>
    </row>
    <row r="29">
      <c r="A29" s="21" t="inlineStr">
        <is>
          <t xml:space="preserve">  Ingresos cobrados - fase 1</t>
        </is>
      </c>
      <c r="C29" s="14">
        <f>IF((C$27-$E$12)&gt;=1,CHOOSE(Supuestos!$B$3,$E$13,$E$14,$E$15)*12*CHOOSE(Supuestos!$B$3,$E$16,$E$17,$E$18)*IF((C$27-$E$12)=1,$E$22,IF((C$27-$E$12)=2,$E$23,1))*(1+Supuestos!$B$5)^MAX(C$27-1,0),0)</f>
        <v/>
      </c>
      <c r="D29" s="14">
        <f>IF((D$27-$E$12)&gt;=1,CHOOSE(Supuestos!$B$3,$E$13,$E$14,$E$15)*12*CHOOSE(Supuestos!$B$3,$E$16,$E$17,$E$18)*IF((D$27-$E$12)=1,$E$22,IF((D$27-$E$12)=2,$E$23,1))*(1+Supuestos!$B$5)^MAX(D$27-1,0),0)</f>
        <v/>
      </c>
      <c r="E29" s="14">
        <f>IF((E$27-$E$12)&gt;=1,CHOOSE(Supuestos!$B$3,$E$13,$E$14,$E$15)*12*CHOOSE(Supuestos!$B$3,$E$16,$E$17,$E$18)*IF((E$27-$E$12)=1,$E$22,IF((E$27-$E$12)=2,$E$23,1))*(1+Supuestos!$B$5)^MAX(E$27-1,0),0)</f>
        <v/>
      </c>
      <c r="F29" s="14">
        <f>IF((F$27-$E$12)&gt;=1,CHOOSE(Supuestos!$B$3,$E$13,$E$14,$E$15)*12*CHOOSE(Supuestos!$B$3,$E$16,$E$17,$E$18)*IF((F$27-$E$12)=1,$E$22,IF((F$27-$E$12)=2,$E$23,1))*(1+Supuestos!$B$5)^MAX(F$27-1,0),0)</f>
        <v/>
      </c>
      <c r="G29" s="14">
        <f>IF((G$27-$E$12)&gt;=1,CHOOSE(Supuestos!$B$3,$E$13,$E$14,$E$15)*12*CHOOSE(Supuestos!$B$3,$E$16,$E$17,$E$18)*IF((G$27-$E$12)=1,$E$22,IF((G$27-$E$12)=2,$E$23,1))*(1+Supuestos!$B$5)^MAX(G$27-1,0),0)</f>
        <v/>
      </c>
      <c r="H29" s="14">
        <f>IF((H$27-$E$12)&gt;=1,CHOOSE(Supuestos!$B$3,$E$13,$E$14,$E$15)*12*CHOOSE(Supuestos!$B$3,$E$16,$E$17,$E$18)*IF((H$27-$E$12)=1,$E$22,IF((H$27-$E$12)=2,$E$23,1))*(1+Supuestos!$B$5)^MAX(H$27-1,0),0)</f>
        <v/>
      </c>
      <c r="I29" s="14">
        <f>IF((I$27-$E$12)&gt;=1,CHOOSE(Supuestos!$B$3,$E$13,$E$14,$E$15)*12*CHOOSE(Supuestos!$B$3,$E$16,$E$17,$E$18)*IF((I$27-$E$12)=1,$E$22,IF((I$27-$E$12)=2,$E$23,1))*(1+Supuestos!$B$5)^MAX(I$27-1,0),0)</f>
        <v/>
      </c>
      <c r="J29" s="14">
        <f>IF((J$27-$E$12)&gt;=1,CHOOSE(Supuestos!$B$3,$E$13,$E$14,$E$15)*12*CHOOSE(Supuestos!$B$3,$E$16,$E$17,$E$18)*IF((J$27-$E$12)=1,$E$22,IF((J$27-$E$12)=2,$E$23,1))*(1+Supuestos!$B$5)^MAX(J$27-1,0),0)</f>
        <v/>
      </c>
      <c r="K29" s="14">
        <f>IF((K$27-$E$12)&gt;=1,CHOOSE(Supuestos!$B$3,$E$13,$E$14,$E$15)*12*CHOOSE(Supuestos!$B$3,$E$16,$E$17,$E$18)*IF((K$27-$E$12)=1,$E$22,IF((K$27-$E$12)=2,$E$23,1))*(1+Supuestos!$B$5)^MAX(K$27-1,0),0)</f>
        <v/>
      </c>
      <c r="L29" s="14">
        <f>IF((L$27-$E$12)&gt;=1,CHOOSE(Supuestos!$B$3,$E$13,$E$14,$E$15)*12*CHOOSE(Supuestos!$B$3,$E$16,$E$17,$E$18)*IF((L$27-$E$12)=1,$E$22,IF((L$27-$E$12)=2,$E$23,1))*(1+Supuestos!$B$5)^MAX(L$27-1,0),0)</f>
        <v/>
      </c>
      <c r="M29" s="14">
        <f>IF((M$27-$E$12)&gt;=1,CHOOSE(Supuestos!$B$3,$E$13,$E$14,$E$15)*12*CHOOSE(Supuestos!$B$3,$E$16,$E$17,$E$18)*IF((M$27-$E$12)=1,$E$22,IF((M$27-$E$12)=2,$E$23,1))*(1+Supuestos!$B$5)^MAX(M$27-1,0),0)</f>
        <v/>
      </c>
      <c r="N29" s="14">
        <f>IF((N$27-$E$12)&gt;=1,CHOOSE(Supuestos!$B$3,$E$13,$E$14,$E$15)*12*CHOOSE(Supuestos!$B$3,$E$16,$E$17,$E$18)*IF((N$27-$E$12)=1,$E$22,IF((N$27-$E$12)=2,$E$23,1))*(1+Supuestos!$B$5)^MAX(N$27-1,0),0)</f>
        <v/>
      </c>
      <c r="O29" s="14">
        <f>IF((O$27-$E$12)&gt;=1,CHOOSE(Supuestos!$B$3,$E$13,$E$14,$E$15)*12*CHOOSE(Supuestos!$B$3,$E$16,$E$17,$E$18)*IF((O$27-$E$12)=1,$E$22,IF((O$27-$E$12)=2,$E$23,1))*(1+Supuestos!$B$5)^MAX(O$27-1,0),0)</f>
        <v/>
      </c>
      <c r="P29" s="14">
        <f>IF((P$27-$E$12)&gt;=1,CHOOSE(Supuestos!$B$3,$E$13,$E$14,$E$15)*12*CHOOSE(Supuestos!$B$3,$E$16,$E$17,$E$18)*IF((P$27-$E$12)=1,$E$22,IF((P$27-$E$12)=2,$E$23,1))*(1+Supuestos!$B$5)^MAX(P$27-1,0),0)</f>
        <v/>
      </c>
      <c r="Q29" s="14">
        <f>IF((Q$27-$E$12)&gt;=1,CHOOSE(Supuestos!$B$3,$E$13,$E$14,$E$15)*12*CHOOSE(Supuestos!$B$3,$E$16,$E$17,$E$18)*IF((Q$27-$E$12)=1,$E$22,IF((Q$27-$E$12)=2,$E$23,1))*(1+Supuestos!$B$5)^MAX(Q$27-1,0),0)</f>
        <v/>
      </c>
      <c r="R29" s="14">
        <f>IF((R$27-$E$12)&gt;=1,CHOOSE(Supuestos!$B$3,$E$13,$E$14,$E$15)*12*CHOOSE(Supuestos!$B$3,$E$16,$E$17,$E$18)*IF((R$27-$E$12)=1,$E$22,IF((R$27-$E$12)=2,$E$23,1))*(1+Supuestos!$B$5)^MAX(R$27-1,0),0)</f>
        <v/>
      </c>
      <c r="S29" s="14">
        <f>IF((S$27-$E$12)&gt;=1,CHOOSE(Supuestos!$B$3,$E$13,$E$14,$E$15)*12*CHOOSE(Supuestos!$B$3,$E$16,$E$17,$E$18)*IF((S$27-$E$12)=1,$E$22,IF((S$27-$E$12)=2,$E$23,1))*(1+Supuestos!$B$5)^MAX(S$27-1,0),0)</f>
        <v/>
      </c>
      <c r="T29" s="14">
        <f>IF((T$27-$E$12)&gt;=1,CHOOSE(Supuestos!$B$3,$E$13,$E$14,$E$15)*12*CHOOSE(Supuestos!$B$3,$E$16,$E$17,$E$18)*IF((T$27-$E$12)=1,$E$22,IF((T$27-$E$12)=2,$E$23,1))*(1+Supuestos!$B$5)^MAX(T$27-1,0),0)</f>
        <v/>
      </c>
      <c r="U29" s="14">
        <f>IF((U$27-$E$12)&gt;=1,CHOOSE(Supuestos!$B$3,$E$13,$E$14,$E$15)*12*CHOOSE(Supuestos!$B$3,$E$16,$E$17,$E$18)*IF((U$27-$E$12)=1,$E$22,IF((U$27-$E$12)=2,$E$23,1))*(1+Supuestos!$B$5)^MAX(U$27-1,0),0)</f>
        <v/>
      </c>
      <c r="V29" s="14">
        <f>IF((V$27-$E$12)&gt;=1,CHOOSE(Supuestos!$B$3,$E$13,$E$14,$E$15)*12*CHOOSE(Supuestos!$B$3,$E$16,$E$17,$E$18)*IF((V$27-$E$12)=1,$E$22,IF((V$27-$E$12)=2,$E$23,1))*(1+Supuestos!$B$5)^MAX(V$27-1,0),0)</f>
        <v/>
      </c>
      <c r="W29" s="14">
        <f>IF((W$27-$E$12)&gt;=1,CHOOSE(Supuestos!$B$3,$E$13,$E$14,$E$15)*12*CHOOSE(Supuestos!$B$3,$E$16,$E$17,$E$18)*IF((W$27-$E$12)=1,$E$22,IF((W$27-$E$12)=2,$E$23,1))*(1+Supuestos!$B$5)^MAX(W$27-1,0),0)</f>
        <v/>
      </c>
    </row>
    <row r="30">
      <c r="A30" s="21" t="inlineStr">
        <is>
          <t xml:space="preserve">  Gastos - fase 1</t>
        </is>
      </c>
      <c r="C30" s="14">
        <f>IF((C$27-$E$12)&gt;=1,-$E$19*(1+Supuestos!$B$5)^MAX(C$27-1,0)-$E$20*C29,0)</f>
        <v/>
      </c>
      <c r="D30" s="14">
        <f>IF((D$27-$E$12)&gt;=1,-$E$19*(1+Supuestos!$B$5)^MAX(D$27-1,0)-$E$20*D29,0)</f>
        <v/>
      </c>
      <c r="E30" s="14">
        <f>IF((E$27-$E$12)&gt;=1,-$E$19*(1+Supuestos!$B$5)^MAX(E$27-1,0)-$E$20*E29,0)</f>
        <v/>
      </c>
      <c r="F30" s="14">
        <f>IF((F$27-$E$12)&gt;=1,-$E$19*(1+Supuestos!$B$5)^MAX(F$27-1,0)-$E$20*F29,0)</f>
        <v/>
      </c>
      <c r="G30" s="14">
        <f>IF((G$27-$E$12)&gt;=1,-$E$19*(1+Supuestos!$B$5)^MAX(G$27-1,0)-$E$20*G29,0)</f>
        <v/>
      </c>
      <c r="H30" s="14">
        <f>IF((H$27-$E$12)&gt;=1,-$E$19*(1+Supuestos!$B$5)^MAX(H$27-1,0)-$E$20*H29,0)</f>
        <v/>
      </c>
      <c r="I30" s="14">
        <f>IF((I$27-$E$12)&gt;=1,-$E$19*(1+Supuestos!$B$5)^MAX(I$27-1,0)-$E$20*I29,0)</f>
        <v/>
      </c>
      <c r="J30" s="14">
        <f>IF((J$27-$E$12)&gt;=1,-$E$19*(1+Supuestos!$B$5)^MAX(J$27-1,0)-$E$20*J29,0)</f>
        <v/>
      </c>
      <c r="K30" s="14">
        <f>IF((K$27-$E$12)&gt;=1,-$E$19*(1+Supuestos!$B$5)^MAX(K$27-1,0)-$E$20*K29,0)</f>
        <v/>
      </c>
      <c r="L30" s="14">
        <f>IF((L$27-$E$12)&gt;=1,-$E$19*(1+Supuestos!$B$5)^MAX(L$27-1,0)-$E$20*L29,0)</f>
        <v/>
      </c>
      <c r="M30" s="14">
        <f>IF((M$27-$E$12)&gt;=1,-$E$19*(1+Supuestos!$B$5)^MAX(M$27-1,0)-$E$20*M29,0)</f>
        <v/>
      </c>
      <c r="N30" s="14">
        <f>IF((N$27-$E$12)&gt;=1,-$E$19*(1+Supuestos!$B$5)^MAX(N$27-1,0)-$E$20*N29,0)</f>
        <v/>
      </c>
      <c r="O30" s="14">
        <f>IF((O$27-$E$12)&gt;=1,-$E$19*(1+Supuestos!$B$5)^MAX(O$27-1,0)-$E$20*O29,0)</f>
        <v/>
      </c>
      <c r="P30" s="14">
        <f>IF((P$27-$E$12)&gt;=1,-$E$19*(1+Supuestos!$B$5)^MAX(P$27-1,0)-$E$20*P29,0)</f>
        <v/>
      </c>
      <c r="Q30" s="14">
        <f>IF((Q$27-$E$12)&gt;=1,-$E$19*(1+Supuestos!$B$5)^MAX(Q$27-1,0)-$E$20*Q29,0)</f>
        <v/>
      </c>
      <c r="R30" s="14">
        <f>IF((R$27-$E$12)&gt;=1,-$E$19*(1+Supuestos!$B$5)^MAX(R$27-1,0)-$E$20*R29,0)</f>
        <v/>
      </c>
      <c r="S30" s="14">
        <f>IF((S$27-$E$12)&gt;=1,-$E$19*(1+Supuestos!$B$5)^MAX(S$27-1,0)-$E$20*S29,0)</f>
        <v/>
      </c>
      <c r="T30" s="14">
        <f>IF((T$27-$E$12)&gt;=1,-$E$19*(1+Supuestos!$B$5)^MAX(T$27-1,0)-$E$20*T29,0)</f>
        <v/>
      </c>
      <c r="U30" s="14">
        <f>IF((U$27-$E$12)&gt;=1,-$E$19*(1+Supuestos!$B$5)^MAX(U$27-1,0)-$E$20*U29,0)</f>
        <v/>
      </c>
      <c r="V30" s="14">
        <f>IF((V$27-$E$12)&gt;=1,-$E$19*(1+Supuestos!$B$5)^MAX(V$27-1,0)-$E$20*V29,0)</f>
        <v/>
      </c>
      <c r="W30" s="14">
        <f>IF((W$27-$E$12)&gt;=1,-$E$19*(1+Supuestos!$B$5)^MAX(W$27-1,0)-$E$20*W29,0)</f>
        <v/>
      </c>
    </row>
    <row r="31">
      <c r="A31" s="21" t="inlineStr">
        <is>
          <t xml:space="preserve">  Impuestos - fase 1</t>
        </is>
      </c>
      <c r="C31" s="14">
        <f>-$E$21*C29</f>
        <v/>
      </c>
      <c r="D31" s="14">
        <f>-$E$21*D29</f>
        <v/>
      </c>
      <c r="E31" s="14">
        <f>-$E$21*E29</f>
        <v/>
      </c>
      <c r="F31" s="14">
        <f>-$E$21*F29</f>
        <v/>
      </c>
      <c r="G31" s="14">
        <f>-$E$21*G29</f>
        <v/>
      </c>
      <c r="H31" s="14">
        <f>-$E$21*H29</f>
        <v/>
      </c>
      <c r="I31" s="14">
        <f>-$E$21*I29</f>
        <v/>
      </c>
      <c r="J31" s="14">
        <f>-$E$21*J29</f>
        <v/>
      </c>
      <c r="K31" s="14">
        <f>-$E$21*K29</f>
        <v/>
      </c>
      <c r="L31" s="14">
        <f>-$E$21*L29</f>
        <v/>
      </c>
      <c r="M31" s="14">
        <f>-$E$21*M29</f>
        <v/>
      </c>
      <c r="N31" s="14">
        <f>-$E$21*N29</f>
        <v/>
      </c>
      <c r="O31" s="14">
        <f>-$E$21*O29</f>
        <v/>
      </c>
      <c r="P31" s="14">
        <f>-$E$21*P29</f>
        <v/>
      </c>
      <c r="Q31" s="14">
        <f>-$E$21*Q29</f>
        <v/>
      </c>
      <c r="R31" s="14">
        <f>-$E$21*R29</f>
        <v/>
      </c>
      <c r="S31" s="14">
        <f>-$E$21*S29</f>
        <v/>
      </c>
      <c r="T31" s="14">
        <f>-$E$21*T29</f>
        <v/>
      </c>
      <c r="U31" s="14">
        <f>-$E$21*U29</f>
        <v/>
      </c>
      <c r="V31" s="14">
        <f>-$E$21*V29</f>
        <v/>
      </c>
      <c r="W31" s="14">
        <f>-$E$21*W29</f>
        <v/>
      </c>
    </row>
    <row r="32">
      <c r="A32" s="21" t="inlineStr">
        <is>
          <t xml:space="preserve">  Reposiciones - fase 1</t>
        </is>
      </c>
      <c r="C32" s="14">
        <f>0</f>
        <v/>
      </c>
      <c r="D32" s="14">
        <f>0</f>
        <v/>
      </c>
      <c r="E32" s="14">
        <f>0</f>
        <v/>
      </c>
      <c r="F32" s="14">
        <f>0</f>
        <v/>
      </c>
      <c r="G32" s="14">
        <f>0</f>
        <v/>
      </c>
      <c r="H32" s="14">
        <f>0</f>
        <v/>
      </c>
      <c r="I32" s="14">
        <f>0</f>
        <v/>
      </c>
      <c r="J32" s="14">
        <f>0</f>
        <v/>
      </c>
      <c r="K32" s="14">
        <f>0</f>
        <v/>
      </c>
      <c r="L32" s="14">
        <f>0</f>
        <v/>
      </c>
      <c r="M32" s="14">
        <f>0</f>
        <v/>
      </c>
      <c r="N32" s="14">
        <f>0</f>
        <v/>
      </c>
      <c r="O32" s="14">
        <f>0</f>
        <v/>
      </c>
      <c r="P32" s="14">
        <f>0</f>
        <v/>
      </c>
      <c r="Q32" s="14">
        <f>0</f>
        <v/>
      </c>
      <c r="R32" s="14">
        <f>0</f>
        <v/>
      </c>
      <c r="S32" s="14">
        <f>0</f>
        <v/>
      </c>
      <c r="T32" s="14">
        <f>0</f>
        <v/>
      </c>
      <c r="U32" s="14">
        <f>0</f>
        <v/>
      </c>
      <c r="V32" s="14">
        <f>0</f>
        <v/>
      </c>
      <c r="W32" s="14">
        <f>0</f>
        <v/>
      </c>
    </row>
    <row r="33">
      <c r="A33" s="21" t="inlineStr">
        <is>
          <t xml:space="preserve">  Valor residual (año 20) - fase 1</t>
        </is>
      </c>
      <c r="C33" s="14">
        <f>IF(AND(C$27=20,$E$24&gt;1),$E$11*(1+Supuestos!$B$5)^MAX($E$12-1,0)*MAX(0,1-(20-$E$12)/$E$24),0)</f>
        <v/>
      </c>
      <c r="D33" s="14">
        <f>IF(AND(D$27=20,$E$24&gt;1),$E$11*(1+Supuestos!$B$5)^MAX($E$12-1,0)*MAX(0,1-(20-$E$12)/$E$24),0)</f>
        <v/>
      </c>
      <c r="E33" s="14">
        <f>IF(AND(E$27=20,$E$24&gt;1),$E$11*(1+Supuestos!$B$5)^MAX($E$12-1,0)*MAX(0,1-(20-$E$12)/$E$24),0)</f>
        <v/>
      </c>
      <c r="F33" s="14">
        <f>IF(AND(F$27=20,$E$24&gt;1),$E$11*(1+Supuestos!$B$5)^MAX($E$12-1,0)*MAX(0,1-(20-$E$12)/$E$24),0)</f>
        <v/>
      </c>
      <c r="G33" s="14">
        <f>IF(AND(G$27=20,$E$24&gt;1),$E$11*(1+Supuestos!$B$5)^MAX($E$12-1,0)*MAX(0,1-(20-$E$12)/$E$24),0)</f>
        <v/>
      </c>
      <c r="H33" s="14">
        <f>IF(AND(H$27=20,$E$24&gt;1),$E$11*(1+Supuestos!$B$5)^MAX($E$12-1,0)*MAX(0,1-(20-$E$12)/$E$24),0)</f>
        <v/>
      </c>
      <c r="I33" s="14">
        <f>IF(AND(I$27=20,$E$24&gt;1),$E$11*(1+Supuestos!$B$5)^MAX($E$12-1,0)*MAX(0,1-(20-$E$12)/$E$24),0)</f>
        <v/>
      </c>
      <c r="J33" s="14">
        <f>IF(AND(J$27=20,$E$24&gt;1),$E$11*(1+Supuestos!$B$5)^MAX($E$12-1,0)*MAX(0,1-(20-$E$12)/$E$24),0)</f>
        <v/>
      </c>
      <c r="K33" s="14">
        <f>IF(AND(K$27=20,$E$24&gt;1),$E$11*(1+Supuestos!$B$5)^MAX($E$12-1,0)*MAX(0,1-(20-$E$12)/$E$24),0)</f>
        <v/>
      </c>
      <c r="L33" s="14">
        <f>IF(AND(L$27=20,$E$24&gt;1),$E$11*(1+Supuestos!$B$5)^MAX($E$12-1,0)*MAX(0,1-(20-$E$12)/$E$24),0)</f>
        <v/>
      </c>
      <c r="M33" s="14">
        <f>IF(AND(M$27=20,$E$24&gt;1),$E$11*(1+Supuestos!$B$5)^MAX($E$12-1,0)*MAX(0,1-(20-$E$12)/$E$24),0)</f>
        <v/>
      </c>
      <c r="N33" s="14">
        <f>IF(AND(N$27=20,$E$24&gt;1),$E$11*(1+Supuestos!$B$5)^MAX($E$12-1,0)*MAX(0,1-(20-$E$12)/$E$24),0)</f>
        <v/>
      </c>
      <c r="O33" s="14">
        <f>IF(AND(O$27=20,$E$24&gt;1),$E$11*(1+Supuestos!$B$5)^MAX($E$12-1,0)*MAX(0,1-(20-$E$12)/$E$24),0)</f>
        <v/>
      </c>
      <c r="P33" s="14">
        <f>IF(AND(P$27=20,$E$24&gt;1),$E$11*(1+Supuestos!$B$5)^MAX($E$12-1,0)*MAX(0,1-(20-$E$12)/$E$24),0)</f>
        <v/>
      </c>
      <c r="Q33" s="14">
        <f>IF(AND(Q$27=20,$E$24&gt;1),$E$11*(1+Supuestos!$B$5)^MAX($E$12-1,0)*MAX(0,1-(20-$E$12)/$E$24),0)</f>
        <v/>
      </c>
      <c r="R33" s="14">
        <f>IF(AND(R$27=20,$E$24&gt;1),$E$11*(1+Supuestos!$B$5)^MAX($E$12-1,0)*MAX(0,1-(20-$E$12)/$E$24),0)</f>
        <v/>
      </c>
      <c r="S33" s="14">
        <f>IF(AND(S$27=20,$E$24&gt;1),$E$11*(1+Supuestos!$B$5)^MAX($E$12-1,0)*MAX(0,1-(20-$E$12)/$E$24),0)</f>
        <v/>
      </c>
      <c r="T33" s="14">
        <f>IF(AND(T$27=20,$E$24&gt;1),$E$11*(1+Supuestos!$B$5)^MAX($E$12-1,0)*MAX(0,1-(20-$E$12)/$E$24),0)</f>
        <v/>
      </c>
      <c r="U33" s="14">
        <f>IF(AND(U$27=20,$E$24&gt;1),$E$11*(1+Supuestos!$B$5)^MAX($E$12-1,0)*MAX(0,1-(20-$E$12)/$E$24),0)</f>
        <v/>
      </c>
      <c r="V33" s="14">
        <f>IF(AND(V$27=20,$E$24&gt;1),$E$11*(1+Supuestos!$B$5)^MAX($E$12-1,0)*MAX(0,1-(20-$E$12)/$E$24),0)</f>
        <v/>
      </c>
      <c r="W33" s="14">
        <f>IF(AND(W$27=20,$E$24&gt;1),$E$11*(1+Supuestos!$B$5)^MAX($E$12-1,0)*MAX(0,1-(20-$E$12)/$E$24),0)</f>
        <v/>
      </c>
    </row>
    <row r="34">
      <c r="A34" s="7" t="inlineStr">
        <is>
          <t>Inversión</t>
        </is>
      </c>
      <c r="C34" s="22">
        <f>C28</f>
        <v/>
      </c>
      <c r="D34" s="22">
        <f>D28</f>
        <v/>
      </c>
      <c r="E34" s="22">
        <f>E28</f>
        <v/>
      </c>
      <c r="F34" s="22">
        <f>F28</f>
        <v/>
      </c>
      <c r="G34" s="22">
        <f>G28</f>
        <v/>
      </c>
      <c r="H34" s="22">
        <f>H28</f>
        <v/>
      </c>
      <c r="I34" s="22">
        <f>I28</f>
        <v/>
      </c>
      <c r="J34" s="22">
        <f>J28</f>
        <v/>
      </c>
      <c r="K34" s="22">
        <f>K28</f>
        <v/>
      </c>
      <c r="L34" s="22">
        <f>L28</f>
        <v/>
      </c>
      <c r="M34" s="22">
        <f>M28</f>
        <v/>
      </c>
      <c r="N34" s="22">
        <f>N28</f>
        <v/>
      </c>
      <c r="O34" s="22">
        <f>O28</f>
        <v/>
      </c>
      <c r="P34" s="22">
        <f>P28</f>
        <v/>
      </c>
      <c r="Q34" s="22">
        <f>Q28</f>
        <v/>
      </c>
      <c r="R34" s="22">
        <f>R28</f>
        <v/>
      </c>
      <c r="S34" s="22">
        <f>S28</f>
        <v/>
      </c>
      <c r="T34" s="22">
        <f>T28</f>
        <v/>
      </c>
      <c r="U34" s="22">
        <f>U28</f>
        <v/>
      </c>
      <c r="V34" s="22">
        <f>V28</f>
        <v/>
      </c>
      <c r="W34" s="22">
        <f>W28</f>
        <v/>
      </c>
    </row>
    <row r="35">
      <c r="A35" s="7" t="inlineStr">
        <is>
          <t>Ingresos cobrados</t>
        </is>
      </c>
      <c r="C35" s="22">
        <f>C29</f>
        <v/>
      </c>
      <c r="D35" s="22">
        <f>D29</f>
        <v/>
      </c>
      <c r="E35" s="22">
        <f>E29</f>
        <v/>
      </c>
      <c r="F35" s="22">
        <f>F29</f>
        <v/>
      </c>
      <c r="G35" s="22">
        <f>G29</f>
        <v/>
      </c>
      <c r="H35" s="22">
        <f>H29</f>
        <v/>
      </c>
      <c r="I35" s="22">
        <f>I29</f>
        <v/>
      </c>
      <c r="J35" s="22">
        <f>J29</f>
        <v/>
      </c>
      <c r="K35" s="22">
        <f>K29</f>
        <v/>
      </c>
      <c r="L35" s="22">
        <f>L29</f>
        <v/>
      </c>
      <c r="M35" s="22">
        <f>M29</f>
        <v/>
      </c>
      <c r="N35" s="22">
        <f>N29</f>
        <v/>
      </c>
      <c r="O35" s="22">
        <f>O29</f>
        <v/>
      </c>
      <c r="P35" s="22">
        <f>P29</f>
        <v/>
      </c>
      <c r="Q35" s="22">
        <f>Q29</f>
        <v/>
      </c>
      <c r="R35" s="22">
        <f>R29</f>
        <v/>
      </c>
      <c r="S35" s="22">
        <f>S29</f>
        <v/>
      </c>
      <c r="T35" s="22">
        <f>T29</f>
        <v/>
      </c>
      <c r="U35" s="22">
        <f>U29</f>
        <v/>
      </c>
      <c r="V35" s="22">
        <f>V29</f>
        <v/>
      </c>
      <c r="W35" s="22">
        <f>W29</f>
        <v/>
      </c>
    </row>
    <row r="36">
      <c r="A36" s="7" t="inlineStr">
        <is>
          <t>Gastos</t>
        </is>
      </c>
      <c r="C36" s="22">
        <f>C30</f>
        <v/>
      </c>
      <c r="D36" s="22">
        <f>D30</f>
        <v/>
      </c>
      <c r="E36" s="22">
        <f>E30</f>
        <v/>
      </c>
      <c r="F36" s="22">
        <f>F30</f>
        <v/>
      </c>
      <c r="G36" s="22">
        <f>G30</f>
        <v/>
      </c>
      <c r="H36" s="22">
        <f>H30</f>
        <v/>
      </c>
      <c r="I36" s="22">
        <f>I30</f>
        <v/>
      </c>
      <c r="J36" s="22">
        <f>J30</f>
        <v/>
      </c>
      <c r="K36" s="22">
        <f>K30</f>
        <v/>
      </c>
      <c r="L36" s="22">
        <f>L30</f>
        <v/>
      </c>
      <c r="M36" s="22">
        <f>M30</f>
        <v/>
      </c>
      <c r="N36" s="22">
        <f>N30</f>
        <v/>
      </c>
      <c r="O36" s="22">
        <f>O30</f>
        <v/>
      </c>
      <c r="P36" s="22">
        <f>P30</f>
        <v/>
      </c>
      <c r="Q36" s="22">
        <f>Q30</f>
        <v/>
      </c>
      <c r="R36" s="22">
        <f>R30</f>
        <v/>
      </c>
      <c r="S36" s="22">
        <f>S30</f>
        <v/>
      </c>
      <c r="T36" s="22">
        <f>T30</f>
        <v/>
      </c>
      <c r="U36" s="22">
        <f>U30</f>
        <v/>
      </c>
      <c r="V36" s="22">
        <f>V30</f>
        <v/>
      </c>
      <c r="W36" s="22">
        <f>W30</f>
        <v/>
      </c>
    </row>
    <row r="37">
      <c r="A37" s="7" t="inlineStr">
        <is>
          <t>Impuestos</t>
        </is>
      </c>
      <c r="C37" s="22">
        <f>C31</f>
        <v/>
      </c>
      <c r="D37" s="22">
        <f>D31</f>
        <v/>
      </c>
      <c r="E37" s="22">
        <f>E31</f>
        <v/>
      </c>
      <c r="F37" s="22">
        <f>F31</f>
        <v/>
      </c>
      <c r="G37" s="22">
        <f>G31</f>
        <v/>
      </c>
      <c r="H37" s="22">
        <f>H31</f>
        <v/>
      </c>
      <c r="I37" s="22">
        <f>I31</f>
        <v/>
      </c>
      <c r="J37" s="22">
        <f>J31</f>
        <v/>
      </c>
      <c r="K37" s="22">
        <f>K31</f>
        <v/>
      </c>
      <c r="L37" s="22">
        <f>L31</f>
        <v/>
      </c>
      <c r="M37" s="22">
        <f>M31</f>
        <v/>
      </c>
      <c r="N37" s="22">
        <f>N31</f>
        <v/>
      </c>
      <c r="O37" s="22">
        <f>O31</f>
        <v/>
      </c>
      <c r="P37" s="22">
        <f>P31</f>
        <v/>
      </c>
      <c r="Q37" s="22">
        <f>Q31</f>
        <v/>
      </c>
      <c r="R37" s="22">
        <f>R31</f>
        <v/>
      </c>
      <c r="S37" s="22">
        <f>S31</f>
        <v/>
      </c>
      <c r="T37" s="22">
        <f>T31</f>
        <v/>
      </c>
      <c r="U37" s="22">
        <f>U31</f>
        <v/>
      </c>
      <c r="V37" s="22">
        <f>V31</f>
        <v/>
      </c>
      <c r="W37" s="22">
        <f>W31</f>
        <v/>
      </c>
    </row>
    <row r="38">
      <c r="A38" s="7" t="inlineStr">
        <is>
          <t>Reposiciones</t>
        </is>
      </c>
      <c r="C38" s="22">
        <f>C32</f>
        <v/>
      </c>
      <c r="D38" s="22">
        <f>D32</f>
        <v/>
      </c>
      <c r="E38" s="22">
        <f>E32</f>
        <v/>
      </c>
      <c r="F38" s="22">
        <f>F32</f>
        <v/>
      </c>
      <c r="G38" s="22">
        <f>G32</f>
        <v/>
      </c>
      <c r="H38" s="22">
        <f>H32</f>
        <v/>
      </c>
      <c r="I38" s="22">
        <f>I32</f>
        <v/>
      </c>
      <c r="J38" s="22">
        <f>J32</f>
        <v/>
      </c>
      <c r="K38" s="22">
        <f>K32</f>
        <v/>
      </c>
      <c r="L38" s="22">
        <f>L32</f>
        <v/>
      </c>
      <c r="M38" s="22">
        <f>M32</f>
        <v/>
      </c>
      <c r="N38" s="22">
        <f>N32</f>
        <v/>
      </c>
      <c r="O38" s="22">
        <f>O32</f>
        <v/>
      </c>
      <c r="P38" s="22">
        <f>P32</f>
        <v/>
      </c>
      <c r="Q38" s="22">
        <f>Q32</f>
        <v/>
      </c>
      <c r="R38" s="22">
        <f>R32</f>
        <v/>
      </c>
      <c r="S38" s="22">
        <f>S32</f>
        <v/>
      </c>
      <c r="T38" s="22">
        <f>T32</f>
        <v/>
      </c>
      <c r="U38" s="22">
        <f>U32</f>
        <v/>
      </c>
      <c r="V38" s="22">
        <f>V32</f>
        <v/>
      </c>
      <c r="W38" s="22">
        <f>W32</f>
        <v/>
      </c>
    </row>
    <row r="39">
      <c r="A39" s="7" t="inlineStr">
        <is>
          <t>Valor residual (año 20)</t>
        </is>
      </c>
      <c r="C39" s="22">
        <f>C33</f>
        <v/>
      </c>
      <c r="D39" s="22">
        <f>D33</f>
        <v/>
      </c>
      <c r="E39" s="22">
        <f>E33</f>
        <v/>
      </c>
      <c r="F39" s="22">
        <f>F33</f>
        <v/>
      </c>
      <c r="G39" s="22">
        <f>G33</f>
        <v/>
      </c>
      <c r="H39" s="22">
        <f>H33</f>
        <v/>
      </c>
      <c r="I39" s="22">
        <f>I33</f>
        <v/>
      </c>
      <c r="J39" s="22">
        <f>J33</f>
        <v/>
      </c>
      <c r="K39" s="22">
        <f>K33</f>
        <v/>
      </c>
      <c r="L39" s="22">
        <f>L33</f>
        <v/>
      </c>
      <c r="M39" s="22">
        <f>M33</f>
        <v/>
      </c>
      <c r="N39" s="22">
        <f>N33</f>
        <v/>
      </c>
      <c r="O39" s="22">
        <f>O33</f>
        <v/>
      </c>
      <c r="P39" s="22">
        <f>P33</f>
        <v/>
      </c>
      <c r="Q39" s="22">
        <f>Q33</f>
        <v/>
      </c>
      <c r="R39" s="22">
        <f>R33</f>
        <v/>
      </c>
      <c r="S39" s="22">
        <f>S33</f>
        <v/>
      </c>
      <c r="T39" s="22">
        <f>T33</f>
        <v/>
      </c>
      <c r="U39" s="22">
        <f>U33</f>
        <v/>
      </c>
      <c r="V39" s="22">
        <f>V33</f>
        <v/>
      </c>
      <c r="W39" s="22">
        <f>W33</f>
        <v/>
      </c>
    </row>
    <row r="40">
      <c r="A40" s="7" t="inlineStr">
        <is>
          <t>FLUJO NETO</t>
        </is>
      </c>
      <c r="C40" s="8">
        <f>C34+C35+C36+C37+C38+C39</f>
        <v/>
      </c>
      <c r="D40" s="8">
        <f>D34+D35+D36+D37+D38+D39</f>
        <v/>
      </c>
      <c r="E40" s="8">
        <f>E34+E35+E36+E37+E38+E39</f>
        <v/>
      </c>
      <c r="F40" s="8">
        <f>F34+F35+F36+F37+F38+F39</f>
        <v/>
      </c>
      <c r="G40" s="8">
        <f>G34+G35+G36+G37+G38+G39</f>
        <v/>
      </c>
      <c r="H40" s="8">
        <f>H34+H35+H36+H37+H38+H39</f>
        <v/>
      </c>
      <c r="I40" s="8">
        <f>I34+I35+I36+I37+I38+I39</f>
        <v/>
      </c>
      <c r="J40" s="8">
        <f>J34+J35+J36+J37+J38+J39</f>
        <v/>
      </c>
      <c r="K40" s="8">
        <f>K34+K35+K36+K37+K38+K39</f>
        <v/>
      </c>
      <c r="L40" s="8">
        <f>L34+L35+L36+L37+L38+L39</f>
        <v/>
      </c>
      <c r="M40" s="8">
        <f>M34+M35+M36+M37+M38+M39</f>
        <v/>
      </c>
      <c r="N40" s="8">
        <f>N34+N35+N36+N37+N38+N39</f>
        <v/>
      </c>
      <c r="O40" s="8">
        <f>O34+O35+O36+O37+O38+O39</f>
        <v/>
      </c>
      <c r="P40" s="8">
        <f>P34+P35+P36+P37+P38+P39</f>
        <v/>
      </c>
      <c r="Q40" s="8">
        <f>Q34+Q35+Q36+Q37+Q38+Q39</f>
        <v/>
      </c>
      <c r="R40" s="8">
        <f>R34+R35+R36+R37+R38+R39</f>
        <v/>
      </c>
      <c r="S40" s="8">
        <f>S34+S35+S36+S37+S38+S39</f>
        <v/>
      </c>
      <c r="T40" s="8">
        <f>T34+T35+T36+T37+T38+T39</f>
        <v/>
      </c>
      <c r="U40" s="8">
        <f>U34+U35+U36+U37+U38+U39</f>
        <v/>
      </c>
      <c r="V40" s="8">
        <f>V34+V35+V36+V37+V38+V39</f>
        <v/>
      </c>
      <c r="W40" s="8">
        <f>W34+W35+W36+W37+W38+W39</f>
        <v/>
      </c>
    </row>
    <row r="41">
      <c r="A41" s="7" t="inlineStr">
        <is>
          <t>Caja acumulada (sin valor residual)</t>
        </is>
      </c>
      <c r="C41" s="14">
        <f>C40-C39</f>
        <v/>
      </c>
      <c r="D41" s="14">
        <f>C41+D40-D39</f>
        <v/>
      </c>
      <c r="E41" s="14">
        <f>D41+E40-E39</f>
        <v/>
      </c>
      <c r="F41" s="14">
        <f>E41+F40-F39</f>
        <v/>
      </c>
      <c r="G41" s="14">
        <f>F41+G40-G39</f>
        <v/>
      </c>
      <c r="H41" s="14">
        <f>G41+H40-H39</f>
        <v/>
      </c>
      <c r="I41" s="14">
        <f>H41+I40-I39</f>
        <v/>
      </c>
      <c r="J41" s="14">
        <f>I41+J40-J39</f>
        <v/>
      </c>
      <c r="K41" s="14">
        <f>J41+K40-K39</f>
        <v/>
      </c>
      <c r="L41" s="14">
        <f>K41+L40-L39</f>
        <v/>
      </c>
      <c r="M41" s="14">
        <f>L41+M40-M39</f>
        <v/>
      </c>
      <c r="N41" s="14">
        <f>M41+N40-N39</f>
        <v/>
      </c>
      <c r="O41" s="14">
        <f>N41+O40-O39</f>
        <v/>
      </c>
      <c r="P41" s="14">
        <f>O41+P40-P39</f>
        <v/>
      </c>
      <c r="Q41" s="14">
        <f>P41+Q40-Q39</f>
        <v/>
      </c>
      <c r="R41" s="14">
        <f>Q41+R40-R39</f>
        <v/>
      </c>
      <c r="S41" s="14">
        <f>R41+S40-S39</f>
        <v/>
      </c>
      <c r="T41" s="14">
        <f>S41+T40-T39</f>
        <v/>
      </c>
      <c r="U41" s="14">
        <f>T41+U40-U39</f>
        <v/>
      </c>
      <c r="V41" s="14">
        <f>U41+V40-V39</f>
        <v/>
      </c>
      <c r="W41" s="14">
        <f>V41+W40-W39</f>
        <v/>
      </c>
    </row>
    <row r="42">
      <c r="A42" s="7" t="inlineStr">
        <is>
          <t>Flujo del propietario contando el terreno (lo aporta hoy y lo recupera valorizado)</t>
        </is>
      </c>
      <c r="C42" s="14">
        <f>C40-Supuestos!$B$21</f>
        <v/>
      </c>
      <c r="D42" s="14">
        <f>D40</f>
        <v/>
      </c>
      <c r="E42" s="14">
        <f>E40</f>
        <v/>
      </c>
      <c r="F42" s="14">
        <f>F40</f>
        <v/>
      </c>
      <c r="G42" s="14">
        <f>G40</f>
        <v/>
      </c>
      <c r="H42" s="14">
        <f>H40</f>
        <v/>
      </c>
      <c r="I42" s="14">
        <f>I40</f>
        <v/>
      </c>
      <c r="J42" s="14">
        <f>J40</f>
        <v/>
      </c>
      <c r="K42" s="14">
        <f>K40</f>
        <v/>
      </c>
      <c r="L42" s="14">
        <f>L40</f>
        <v/>
      </c>
      <c r="M42" s="14">
        <f>M40</f>
        <v/>
      </c>
      <c r="N42" s="14">
        <f>N40</f>
        <v/>
      </c>
      <c r="O42" s="14">
        <f>O40</f>
        <v/>
      </c>
      <c r="P42" s="14">
        <f>P40</f>
        <v/>
      </c>
      <c r="Q42" s="14">
        <f>Q40</f>
        <v/>
      </c>
      <c r="R42" s="14">
        <f>R40</f>
        <v/>
      </c>
      <c r="S42" s="14">
        <f>S40</f>
        <v/>
      </c>
      <c r="T42" s="14">
        <f>T40</f>
        <v/>
      </c>
      <c r="U42" s="14">
        <f>U40</f>
        <v/>
      </c>
      <c r="V42" s="14">
        <f>V40</f>
        <v/>
      </c>
      <c r="W42" s="14">
        <f>W40+Supuestos!$B$21*(1+Supuestos!$B$23)^20</f>
        <v/>
      </c>
    </row>
    <row r="44">
      <c r="A44" s="7" t="inlineStr">
        <is>
          <t>Inversión total</t>
        </is>
      </c>
      <c r="C44" s="8">
        <f>-SUM(C34:W34)</f>
        <v/>
      </c>
    </row>
    <row r="45">
      <c r="A45" s="7" t="inlineStr">
        <is>
          <t>VAN al 10%</t>
        </is>
      </c>
      <c r="C45" s="8">
        <f>C40+NPV(Supuestos!$B$4,D40:W40)</f>
        <v/>
      </c>
    </row>
    <row r="46">
      <c r="A46" s="7" t="inlineStr">
        <is>
          <t>TIR</t>
        </is>
      </c>
      <c r="C46" s="23">
        <f>IFERROR(IRR(C40:W40),IFERROR(IRR(C40:W40,-0.05),"no aplica"))</f>
        <v/>
      </c>
    </row>
    <row r="47">
      <c r="A47" s="7" t="inlineStr">
        <is>
          <t>Año en que se recupera la inversión (acumulado ≥ 0)</t>
        </is>
      </c>
      <c r="C47" s="24">
        <f>IF(-SUM(C34:W34)=0,"sin inversión",IFERROR(INDEX(C27:W27,MATCH(TRUE,INDEX(C41:W41&gt;=0,0),0)),"no en 20 años"))</f>
        <v/>
      </c>
    </row>
    <row r="48">
      <c r="A48" s="7" t="inlineStr">
        <is>
          <t>Caja neta del año 5 sin inversiones (S/ nominales)</t>
        </is>
      </c>
      <c r="C48" s="8">
        <f>H40-H34</f>
        <v/>
      </c>
    </row>
    <row r="49">
      <c r="A49" s="7" t="inlineStr">
        <is>
          <t>TIR contando el terreno</t>
        </is>
      </c>
      <c r="C49" s="23">
        <f>IFERROR(IRR(C42:W42),"no aplica")</f>
        <v/>
      </c>
    </row>
  </sheetData>
  <mergeCells count="1">
    <mergeCell ref="A2:L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E. C + 1 piso de consultorios (año 2)</t>
        </is>
      </c>
    </row>
    <row r="2" ht="30" customHeight="1">
      <c r="A2" s="17" t="inlineStr">
        <is>
          <t>Fase 1 igual a C. En el año 2, un piso con 7 consultorios, ascensor y SS.HH. accesible para médicos, odontólogos, laboratorio u óptica.</t>
        </is>
      </c>
    </row>
    <row r="4">
      <c r="A4" s="18" t="inlineStr">
        <is>
          <t>Fase 1: Local de esquina (100 m²)</t>
        </is>
      </c>
    </row>
    <row r="5">
      <c r="A5" s="20" t="inlineStr">
        <is>
          <t>Partida</t>
        </is>
      </c>
      <c r="B5" s="20" t="inlineStr">
        <is>
          <t>Und.</t>
        </is>
      </c>
      <c r="C5" s="20" t="inlineStr">
        <is>
          <t>Cantidad</t>
        </is>
      </c>
      <c r="D5" s="20" t="inlineStr">
        <is>
          <t>P. unitario</t>
        </is>
      </c>
      <c r="E5" s="20" t="inlineStr">
        <is>
          <t>Parcial</t>
        </is>
      </c>
    </row>
    <row r="6">
      <c r="A6" s="17" t="inlineStr">
        <is>
          <t>Local de esquina de 100 m² en pórticos de C.A. diseñados para 3 pisos, puertas enrollables y SS.HH.</t>
        </is>
      </c>
      <c r="B6" t="inlineStr">
        <is>
          <t>m²</t>
        </is>
      </c>
      <c r="C6" s="5" t="n">
        <v>100</v>
      </c>
      <c r="D6" s="6" t="n">
        <v>1500</v>
      </c>
      <c r="E6" s="14">
        <f>C6*D6</f>
        <v/>
      </c>
    </row>
    <row r="7">
      <c r="A7" s="17" t="inlineStr">
        <is>
          <t>Estudio de suelos, proyecto y licencia</t>
        </is>
      </c>
      <c r="B7" t="inlineStr">
        <is>
          <t>glb</t>
        </is>
      </c>
      <c r="C7" s="5" t="n">
        <v>1</v>
      </c>
      <c r="D7" s="6" t="n">
        <v>20000</v>
      </c>
      <c r="E7" s="14">
        <f>C7*D7</f>
        <v/>
      </c>
    </row>
    <row r="8">
      <c r="D8" t="inlineStr">
        <is>
          <t>Inversión (con imprevistos y factor de escenario)</t>
        </is>
      </c>
      <c r="E8" s="8">
        <f>SUM(E6:E7)*(1+Supuestos!$B$6)*Supuestos!$B$22</f>
        <v/>
      </c>
    </row>
    <row r="9">
      <c r="D9" t="inlineStr">
        <is>
          <t>Año de inversión (opera desde el año siguiente)</t>
        </is>
      </c>
      <c r="E9" s="19" t="n">
        <v>0</v>
      </c>
    </row>
    <row r="10">
      <c r="D10" t="inlineStr">
        <is>
          <t>Ingreso bruto potencial S/ por mes - pesimista</t>
        </is>
      </c>
      <c r="E10" s="6" t="n">
        <v>1000</v>
      </c>
    </row>
    <row r="11">
      <c r="D11" t="inlineStr">
        <is>
          <t>Ingreso bruto potencial S/ por mes - base</t>
        </is>
      </c>
      <c r="E11" s="6" t="n">
        <v>1300</v>
      </c>
    </row>
    <row r="12">
      <c r="D12" t="inlineStr">
        <is>
          <t>Ingreso bruto potencial S/ por mes - optimista</t>
        </is>
      </c>
      <c r="E12" s="6" t="n">
        <v>2000</v>
      </c>
    </row>
    <row r="13">
      <c r="D13" t="inlineStr">
        <is>
          <t>Ocupación cobrada - pesimista</t>
        </is>
      </c>
      <c r="E13" s="3" t="n">
        <v>0.7</v>
      </c>
    </row>
    <row r="14">
      <c r="D14" t="inlineStr">
        <is>
          <t>Ocupación cobrada - base</t>
        </is>
      </c>
      <c r="E14" s="3" t="n">
        <v>0.8</v>
      </c>
    </row>
    <row r="15">
      <c r="D15" t="inlineStr">
        <is>
          <t>Ocupación cobrada - optimista</t>
        </is>
      </c>
      <c r="E15" s="3" t="n">
        <v>0.9</v>
      </c>
    </row>
    <row r="16">
      <c r="D16" t="inlineStr">
        <is>
          <t>Gastos fijos S/ por año (personal, energía, mantenimiento, seguro, predial)</t>
        </is>
      </c>
      <c r="E16" s="6" t="n">
        <v>2500</v>
      </c>
    </row>
    <row r="17">
      <c r="D17" t="inlineStr">
        <is>
          <t>Gastos variables (% del ingreso cobrado)</t>
        </is>
      </c>
      <c r="E17" s="3" t="n">
        <v>0</v>
      </c>
    </row>
    <row r="18">
      <c r="D18" t="inlineStr">
        <is>
          <t>Impuestos (% del ingreso cobrado)</t>
        </is>
      </c>
      <c r="E18" s="3" t="n">
        <v>0.05</v>
      </c>
    </row>
    <row r="19">
      <c r="D19" t="inlineStr">
        <is>
          <t>Ingreso relativo 1.er año de operación</t>
        </is>
      </c>
      <c r="E19" s="3" t="n">
        <v>0.5</v>
      </c>
    </row>
    <row r="20">
      <c r="D20" t="inlineStr">
        <is>
          <t>Ingreso relativo 2.º año de operación</t>
        </is>
      </c>
      <c r="E20" s="3" t="n">
        <v>0.8</v>
      </c>
    </row>
    <row r="21">
      <c r="D21" t="inlineStr">
        <is>
          <t>Vida útil para valor residual (años)</t>
        </is>
      </c>
      <c r="E21" s="19" t="n">
        <v>50</v>
      </c>
    </row>
    <row r="23">
      <c r="A23" s="18" t="inlineStr">
        <is>
          <t>Fase 2: 3 locales al jirón + núcleo de escalera</t>
        </is>
      </c>
    </row>
    <row r="24">
      <c r="A24" s="20" t="inlineStr">
        <is>
          <t>Partida</t>
        </is>
      </c>
      <c r="B24" s="20" t="inlineStr">
        <is>
          <t>Und.</t>
        </is>
      </c>
      <c r="C24" s="20" t="inlineStr">
        <is>
          <t>Cantidad</t>
        </is>
      </c>
      <c r="D24" s="20" t="inlineStr">
        <is>
          <t>P. unitario</t>
        </is>
      </c>
      <c r="E24" s="20" t="inlineStr">
        <is>
          <t>Parcial</t>
        </is>
      </c>
    </row>
    <row r="25">
      <c r="A25" s="17" t="inlineStr">
        <is>
          <t>3 locales de 39-48 m² (134.7 m²) y núcleo de escalera, SS.HH. y depósito de 26 m² junto a B, en pórticos de C.A. diseñados para 3 pisos</t>
        </is>
      </c>
      <c r="B25" t="inlineStr">
        <is>
          <t>m²</t>
        </is>
      </c>
      <c r="C25" s="5" t="n">
        <v>160.6</v>
      </c>
      <c r="D25" s="6" t="n">
        <v>1500</v>
      </c>
      <c r="E25" s="14">
        <f>C25*D25</f>
        <v/>
      </c>
    </row>
    <row r="26">
      <c r="A26" s="17" t="inlineStr">
        <is>
          <t>Ampliación del proyecto y licencia</t>
        </is>
      </c>
      <c r="B26" t="inlineStr">
        <is>
          <t>glb</t>
        </is>
      </c>
      <c r="C26" s="5" t="n">
        <v>1</v>
      </c>
      <c r="D26" s="6" t="n">
        <v>12000</v>
      </c>
      <c r="E26" s="14">
        <f>C26*D26</f>
        <v/>
      </c>
    </row>
    <row r="27">
      <c r="D27" t="inlineStr">
        <is>
          <t>Inversión (con imprevistos y factor de escenario)</t>
        </is>
      </c>
      <c r="E27" s="8">
        <f>SUM(E25:E26)*(1+Supuestos!$B$6)*Supuestos!$B$22</f>
        <v/>
      </c>
    </row>
    <row r="28">
      <c r="D28" t="inlineStr">
        <is>
          <t>Año de inversión (opera desde el año siguiente)</t>
        </is>
      </c>
      <c r="E28" s="19" t="n">
        <v>0</v>
      </c>
    </row>
    <row r="29">
      <c r="D29" t="inlineStr">
        <is>
          <t>Ingreso bruto potencial S/ por mes - pesimista</t>
        </is>
      </c>
      <c r="E29" s="6" t="n">
        <v>1616.4</v>
      </c>
    </row>
    <row r="30">
      <c r="D30" t="inlineStr">
        <is>
          <t>Ingreso bruto potencial S/ por mes - base</t>
        </is>
      </c>
      <c r="E30" s="6" t="n">
        <v>2020.5</v>
      </c>
    </row>
    <row r="31">
      <c r="D31" t="inlineStr">
        <is>
          <t>Ingreso bruto potencial S/ por mes - optimista</t>
        </is>
      </c>
      <c r="E31" s="6" t="n">
        <v>2424.6</v>
      </c>
    </row>
    <row r="32">
      <c r="D32" t="inlineStr">
        <is>
          <t>Ocupación cobrada - pesimista</t>
        </is>
      </c>
      <c r="E32" s="3" t="n">
        <v>0.7</v>
      </c>
    </row>
    <row r="33">
      <c r="D33" t="inlineStr">
        <is>
          <t>Ocupación cobrada - base</t>
        </is>
      </c>
      <c r="E33" s="3" t="n">
        <v>0.8</v>
      </c>
    </row>
    <row r="34">
      <c r="D34" t="inlineStr">
        <is>
          <t>Ocupación cobrada - optimista</t>
        </is>
      </c>
      <c r="E34" s="3" t="n">
        <v>0.9</v>
      </c>
    </row>
    <row r="35">
      <c r="D35" t="inlineStr">
        <is>
          <t>Gastos fijos S/ por año (personal, energía, mantenimiento, seguro, predial)</t>
        </is>
      </c>
      <c r="E35" s="6" t="n">
        <v>3600</v>
      </c>
    </row>
    <row r="36">
      <c r="D36" t="inlineStr">
        <is>
          <t>Gastos variables (% del ingreso cobrado)</t>
        </is>
      </c>
      <c r="E36" s="3" t="n">
        <v>0</v>
      </c>
    </row>
    <row r="37">
      <c r="D37" t="inlineStr">
        <is>
          <t>Impuestos (% del ingreso cobrado)</t>
        </is>
      </c>
      <c r="E37" s="3" t="n">
        <v>0.05</v>
      </c>
    </row>
    <row r="38">
      <c r="D38" t="inlineStr">
        <is>
          <t>Ingreso relativo 1.er año de operación</t>
        </is>
      </c>
      <c r="E38" s="3" t="n">
        <v>0.5</v>
      </c>
    </row>
    <row r="39">
      <c r="D39" t="inlineStr">
        <is>
          <t>Ingreso relativo 2.º año de operación</t>
        </is>
      </c>
      <c r="E39" s="3" t="n">
        <v>0.8</v>
      </c>
    </row>
    <row r="40">
      <c r="D40" t="inlineStr">
        <is>
          <t>Vida útil para valor residual (años)</t>
        </is>
      </c>
      <c r="E40" s="19" t="n">
        <v>50</v>
      </c>
    </row>
    <row r="42">
      <c r="A42" s="18" t="inlineStr">
        <is>
          <t>Fase 3: Cochera de abonados (fondo, descubierta)</t>
        </is>
      </c>
    </row>
    <row r="43">
      <c r="A43" s="20" t="inlineStr">
        <is>
          <t>Partida</t>
        </is>
      </c>
      <c r="B43" s="20" t="inlineStr">
        <is>
          <t>Und.</t>
        </is>
      </c>
      <c r="C43" s="20" t="inlineStr">
        <is>
          <t>Cantidad</t>
        </is>
      </c>
      <c r="D43" s="20" t="inlineStr">
        <is>
          <t>P. unitario</t>
        </is>
      </c>
      <c r="E43" s="20" t="inlineStr">
        <is>
          <t>Parcial</t>
        </is>
      </c>
    </row>
    <row r="44">
      <c r="A44" s="17" t="inlineStr">
        <is>
          <t>Afirmado compactado e=0.20 m con bombeo</t>
        </is>
      </c>
      <c r="B44" t="inlineStr">
        <is>
          <t>m²</t>
        </is>
      </c>
      <c r="C44" s="5" t="n">
        <v>540</v>
      </c>
      <c r="D44" s="6" t="n">
        <v>40</v>
      </c>
      <c r="E44" s="14">
        <f>C44*D44</f>
        <v/>
      </c>
    </row>
    <row r="45">
      <c r="A45" s="17" t="inlineStr">
        <is>
          <t>Drenaje del patio</t>
        </is>
      </c>
      <c r="B45" t="inlineStr">
        <is>
          <t>ml</t>
        </is>
      </c>
      <c r="C45" s="5" t="n">
        <v>20</v>
      </c>
      <c r="D45" s="6" t="n">
        <v>220</v>
      </c>
      <c r="E45" s="14">
        <f>C45*D45</f>
        <v/>
      </c>
    </row>
    <row r="46">
      <c r="A46" s="17" t="inlineStr">
        <is>
          <t>Portón telescópico automatizado de 6.5 m con 40 controles + puerta peatonal</t>
        </is>
      </c>
      <c r="B46" t="inlineStr">
        <is>
          <t>glb</t>
        </is>
      </c>
      <c r="C46" s="5" t="n">
        <v>1</v>
      </c>
      <c r="D46" s="6" t="n">
        <v>15500</v>
      </c>
      <c r="E46" s="14">
        <f>C46*D46</f>
        <v/>
      </c>
    </row>
    <row r="47">
      <c r="A47" s="17" t="inlineStr">
        <is>
          <t>Cerco de albañilería en el fondo C-D</t>
        </is>
      </c>
      <c r="B47" t="inlineStr">
        <is>
          <t>ml</t>
        </is>
      </c>
      <c r="C47" s="5" t="n">
        <v>30</v>
      </c>
      <c r="D47" s="6" t="n">
        <v>330</v>
      </c>
      <c r="E47" s="14">
        <f>C47*D47</f>
        <v/>
      </c>
    </row>
    <row r="48">
      <c r="A48" s="17" t="inlineStr">
        <is>
          <t>Iluminación LED y CCTV de 4 cámaras</t>
        </is>
      </c>
      <c r="B48" t="inlineStr">
        <is>
          <t>glb</t>
        </is>
      </c>
      <c r="C48" s="5" t="n">
        <v>1</v>
      </c>
      <c r="D48" s="6" t="n">
        <v>7500</v>
      </c>
      <c r="E48" s="14">
        <f>C48*D48</f>
        <v/>
      </c>
    </row>
    <row r="49">
      <c r="A49" s="17" t="inlineStr">
        <is>
          <t>Señalización, numeración y topellantas</t>
        </is>
      </c>
      <c r="B49" t="inlineStr">
        <is>
          <t>glb</t>
        </is>
      </c>
      <c r="C49" s="5" t="n">
        <v>1</v>
      </c>
      <c r="D49" s="6" t="n">
        <v>2400</v>
      </c>
      <c r="E49" s="14">
        <f>C49*D49</f>
        <v/>
      </c>
    </row>
    <row r="50">
      <c r="D50" t="inlineStr">
        <is>
          <t>Inversión (con imprevistos y factor de escenario)</t>
        </is>
      </c>
      <c r="E50" s="8">
        <f>SUM(E44:E49)*(1+Supuestos!$B$6)*Supuestos!$B$22</f>
        <v/>
      </c>
    </row>
    <row r="51">
      <c r="D51" t="inlineStr">
        <is>
          <t>Año de inversión (opera desde el año siguiente)</t>
        </is>
      </c>
      <c r="E51" s="19" t="n">
        <v>0</v>
      </c>
    </row>
    <row r="52">
      <c r="D52" t="inlineStr">
        <is>
          <t>Ingreso bruto potencial S/ por mes - pesimista</t>
        </is>
      </c>
      <c r="E52" s="6" t="n">
        <v>480</v>
      </c>
    </row>
    <row r="53">
      <c r="D53" t="inlineStr">
        <is>
          <t>Ingreso bruto potencial S/ por mes - base</t>
        </is>
      </c>
      <c r="E53" s="6" t="n">
        <v>900</v>
      </c>
    </row>
    <row r="54">
      <c r="D54" t="inlineStr">
        <is>
          <t>Ingreso bruto potencial S/ por mes - optimista</t>
        </is>
      </c>
      <c r="E54" s="6" t="n">
        <v>1080</v>
      </c>
    </row>
    <row r="55">
      <c r="D55" t="inlineStr">
        <is>
          <t>Ocupación cobrada - pesimista</t>
        </is>
      </c>
      <c r="E55" s="3" t="n">
        <v>0.6</v>
      </c>
    </row>
    <row r="56">
      <c r="D56" t="inlineStr">
        <is>
          <t>Ocupación cobrada - base</t>
        </is>
      </c>
      <c r="E56" s="3" t="n">
        <v>0.7</v>
      </c>
    </row>
    <row r="57">
      <c r="D57" t="inlineStr">
        <is>
          <t>Ocupación cobrada - optimista</t>
        </is>
      </c>
      <c r="E57" s="3" t="n">
        <v>0.8</v>
      </c>
    </row>
    <row r="58">
      <c r="D58" t="inlineStr">
        <is>
          <t>Gastos fijos S/ por año (personal, energía, mantenimiento, seguro, predial)</t>
        </is>
      </c>
      <c r="E58" s="6" t="n">
        <v>3200</v>
      </c>
    </row>
    <row r="59">
      <c r="D59" t="inlineStr">
        <is>
          <t>Gastos variables (% del ingreso cobrado)</t>
        </is>
      </c>
      <c r="E59" s="3" t="n">
        <v>0</v>
      </c>
    </row>
    <row r="60">
      <c r="D60" t="inlineStr">
        <is>
          <t>Impuestos (% del ingreso cobrado)</t>
        </is>
      </c>
      <c r="E60" s="3" t="n">
        <v>0</v>
      </c>
    </row>
    <row r="61">
      <c r="D61" t="inlineStr">
        <is>
          <t>Ingreso relativo 1.er año de operación</t>
        </is>
      </c>
      <c r="E61" s="3" t="n">
        <v>0.6</v>
      </c>
    </row>
    <row r="62">
      <c r="D62" t="inlineStr">
        <is>
          <t>Ingreso relativo 2.º año de operación</t>
        </is>
      </c>
      <c r="E62" s="3" t="n">
        <v>0.85</v>
      </c>
    </row>
    <row r="63">
      <c r="D63" t="inlineStr">
        <is>
          <t>Vida útil para valor residual (años)</t>
        </is>
      </c>
      <c r="E63" s="19" t="n">
        <v>10</v>
      </c>
    </row>
    <row r="64">
      <c r="D64" t="inlineStr">
        <is>
          <t>Reposición 1: años después de invertir</t>
        </is>
      </c>
      <c r="E64" s="19" t="n">
        <v>10</v>
      </c>
    </row>
    <row r="65">
      <c r="D65" t="inlineStr">
        <is>
          <t>Reposición 1: monto a precios de hoy</t>
        </is>
      </c>
      <c r="E65" s="6" t="n">
        <v>33330</v>
      </c>
    </row>
    <row r="67">
      <c r="A67" s="18" t="inlineStr">
        <is>
          <t>Fase 4: 1 piso de consultorios</t>
        </is>
      </c>
    </row>
    <row r="68">
      <c r="A68" s="20" t="inlineStr">
        <is>
          <t>Partida</t>
        </is>
      </c>
      <c r="B68" s="20" t="inlineStr">
        <is>
          <t>Und.</t>
        </is>
      </c>
      <c r="C68" s="20" t="inlineStr">
        <is>
          <t>Cantidad</t>
        </is>
      </c>
      <c r="D68" s="20" t="inlineStr">
        <is>
          <t>P. unitario</t>
        </is>
      </c>
      <c r="E68" s="20" t="inlineStr">
        <is>
          <t>Parcial</t>
        </is>
      </c>
    </row>
    <row r="69">
      <c r="A69" s="17" t="inlineStr">
        <is>
          <t>1 piso sobre los locales: 7 consultorios de 15-20 m² con lavatorio, sala de espera y SS.HH. accesible</t>
        </is>
      </c>
      <c r="B69" t="inlineStr">
        <is>
          <t>m²</t>
        </is>
      </c>
      <c r="C69" s="5" t="n">
        <v>260.6</v>
      </c>
      <c r="D69" s="6" t="n">
        <v>1650</v>
      </c>
      <c r="E69" s="14">
        <f>C69*D69</f>
        <v/>
      </c>
    </row>
    <row r="70">
      <c r="A70" s="17" t="inlineStr">
        <is>
          <t>Ascensor de 2 paradas con pozo</t>
        </is>
      </c>
      <c r="B70" t="inlineStr">
        <is>
          <t>glb</t>
        </is>
      </c>
      <c r="C70" s="5" t="n">
        <v>1</v>
      </c>
      <c r="D70" s="6" t="n">
        <v>85000</v>
      </c>
      <c r="E70" s="14">
        <f>C70*D70</f>
        <v/>
      </c>
    </row>
    <row r="71">
      <c r="A71" s="17" t="inlineStr">
        <is>
          <t>Proyecto y licencia (Modalidad D por uso salud)</t>
        </is>
      </c>
      <c r="B71" t="inlineStr">
        <is>
          <t>glb</t>
        </is>
      </c>
      <c r="C71" s="5" t="n">
        <v>1</v>
      </c>
      <c r="D71" s="6" t="n">
        <v>18000</v>
      </c>
      <c r="E71" s="14">
        <f>C71*D71</f>
        <v/>
      </c>
    </row>
    <row r="72">
      <c r="D72" t="inlineStr">
        <is>
          <t>Inversión (con imprevistos y factor de escenario)</t>
        </is>
      </c>
      <c r="E72" s="8">
        <f>SUM(E69:E71)*(1+Supuestos!$B$6)*Supuestos!$B$22</f>
        <v/>
      </c>
    </row>
    <row r="73">
      <c r="D73" t="inlineStr">
        <is>
          <t>Año de inversión (opera desde el año siguiente)</t>
        </is>
      </c>
      <c r="E73" s="19" t="n">
        <v>2</v>
      </c>
    </row>
    <row r="74">
      <c r="D74" t="inlineStr">
        <is>
          <t>Ingreso bruto potencial S/ por mes - pesimista</t>
        </is>
      </c>
      <c r="E74" s="6" t="n">
        <v>2100</v>
      </c>
    </row>
    <row r="75">
      <c r="D75" t="inlineStr">
        <is>
          <t>Ingreso bruto potencial S/ por mes - base</t>
        </is>
      </c>
      <c r="E75" s="6" t="n">
        <v>2800</v>
      </c>
    </row>
    <row r="76">
      <c r="D76" t="inlineStr">
        <is>
          <t>Ingreso bruto potencial S/ por mes - optimista</t>
        </is>
      </c>
      <c r="E76" s="6" t="n">
        <v>3500</v>
      </c>
    </row>
    <row r="77">
      <c r="D77" t="inlineStr">
        <is>
          <t>Ocupación cobrada - pesimista</t>
        </is>
      </c>
      <c r="E77" s="3" t="n">
        <v>0.6</v>
      </c>
    </row>
    <row r="78">
      <c r="D78" t="inlineStr">
        <is>
          <t>Ocupación cobrada - base</t>
        </is>
      </c>
      <c r="E78" s="3" t="n">
        <v>0.7</v>
      </c>
    </row>
    <row r="79">
      <c r="D79" t="inlineStr">
        <is>
          <t>Ocupación cobrada - optimista</t>
        </is>
      </c>
      <c r="E79" s="3" t="n">
        <v>0.85</v>
      </c>
    </row>
    <row r="80">
      <c r="D80" t="inlineStr">
        <is>
          <t>Gastos fijos S/ por año (personal, energía, mantenimiento, seguro, predial)</t>
        </is>
      </c>
      <c r="E80" s="6" t="n">
        <v>11600</v>
      </c>
    </row>
    <row r="81">
      <c r="D81" t="inlineStr">
        <is>
          <t>Gastos variables (% del ingreso cobrado)</t>
        </is>
      </c>
      <c r="E81" s="3" t="n">
        <v>0</v>
      </c>
    </row>
    <row r="82">
      <c r="D82" t="inlineStr">
        <is>
          <t>Impuestos (% del ingreso cobrado)</t>
        </is>
      </c>
      <c r="E82" s="3" t="n">
        <v>0.05</v>
      </c>
    </row>
    <row r="83">
      <c r="D83" t="inlineStr">
        <is>
          <t>Ingreso relativo 1.er año de operación</t>
        </is>
      </c>
      <c r="E83" s="3" t="n">
        <v>0.5</v>
      </c>
    </row>
    <row r="84">
      <c r="D84" t="inlineStr">
        <is>
          <t>Ingreso relativo 2.º año de operación</t>
        </is>
      </c>
      <c r="E84" s="3" t="n">
        <v>0.85</v>
      </c>
    </row>
    <row r="85">
      <c r="D85" t="inlineStr">
        <is>
          <t>Vida útil para valor residual (años)</t>
        </is>
      </c>
      <c r="E85" s="19" t="n">
        <v>50</v>
      </c>
    </row>
    <row r="87">
      <c r="A87" s="7" t="inlineStr">
        <is>
          <t>FLUJO DE CAJA (S/ nominales)</t>
        </is>
      </c>
    </row>
    <row r="88">
      <c r="A88" s="20" t="inlineStr">
        <is>
          <t>Concepto / año</t>
        </is>
      </c>
      <c r="C88" s="20" t="n">
        <v>0</v>
      </c>
      <c r="D88" s="20" t="n">
        <v>1</v>
      </c>
      <c r="E88" s="20" t="n">
        <v>2</v>
      </c>
      <c r="F88" s="20" t="n">
        <v>3</v>
      </c>
      <c r="G88" s="20" t="n">
        <v>4</v>
      </c>
      <c r="H88" s="20" t="n">
        <v>5</v>
      </c>
      <c r="I88" s="20" t="n">
        <v>6</v>
      </c>
      <c r="J88" s="20" t="n">
        <v>7</v>
      </c>
      <c r="K88" s="20" t="n">
        <v>8</v>
      </c>
      <c r="L88" s="20" t="n">
        <v>9</v>
      </c>
      <c r="M88" s="20" t="n">
        <v>10</v>
      </c>
      <c r="N88" s="20" t="n">
        <v>11</v>
      </c>
      <c r="O88" s="20" t="n">
        <v>12</v>
      </c>
      <c r="P88" s="20" t="n">
        <v>13</v>
      </c>
      <c r="Q88" s="20" t="n">
        <v>14</v>
      </c>
      <c r="R88" s="20" t="n">
        <v>15</v>
      </c>
      <c r="S88" s="20" t="n">
        <v>16</v>
      </c>
      <c r="T88" s="20" t="n">
        <v>17</v>
      </c>
      <c r="U88" s="20" t="n">
        <v>18</v>
      </c>
      <c r="V88" s="20" t="n">
        <v>19</v>
      </c>
      <c r="W88" s="20" t="n">
        <v>20</v>
      </c>
    </row>
    <row r="89">
      <c r="A89" s="21" t="inlineStr">
        <is>
          <t xml:space="preserve">  Inversión - fase 1</t>
        </is>
      </c>
      <c r="C89" s="14">
        <f>IF(C$88=$E$9,-$E$8*(1+Supuestos!$B$5)^MAX($E$9-1,0),0)</f>
        <v/>
      </c>
      <c r="D89" s="14">
        <f>IF(D$88=$E$9,-$E$8*(1+Supuestos!$B$5)^MAX($E$9-1,0),0)</f>
        <v/>
      </c>
      <c r="E89" s="14">
        <f>IF(E$88=$E$9,-$E$8*(1+Supuestos!$B$5)^MAX($E$9-1,0),0)</f>
        <v/>
      </c>
      <c r="F89" s="14">
        <f>IF(F$88=$E$9,-$E$8*(1+Supuestos!$B$5)^MAX($E$9-1,0),0)</f>
        <v/>
      </c>
      <c r="G89" s="14">
        <f>IF(G$88=$E$9,-$E$8*(1+Supuestos!$B$5)^MAX($E$9-1,0),0)</f>
        <v/>
      </c>
      <c r="H89" s="14">
        <f>IF(H$88=$E$9,-$E$8*(1+Supuestos!$B$5)^MAX($E$9-1,0),0)</f>
        <v/>
      </c>
      <c r="I89" s="14">
        <f>IF(I$88=$E$9,-$E$8*(1+Supuestos!$B$5)^MAX($E$9-1,0),0)</f>
        <v/>
      </c>
      <c r="J89" s="14">
        <f>IF(J$88=$E$9,-$E$8*(1+Supuestos!$B$5)^MAX($E$9-1,0),0)</f>
        <v/>
      </c>
      <c r="K89" s="14">
        <f>IF(K$88=$E$9,-$E$8*(1+Supuestos!$B$5)^MAX($E$9-1,0),0)</f>
        <v/>
      </c>
      <c r="L89" s="14">
        <f>IF(L$88=$E$9,-$E$8*(1+Supuestos!$B$5)^MAX($E$9-1,0),0)</f>
        <v/>
      </c>
      <c r="M89" s="14">
        <f>IF(M$88=$E$9,-$E$8*(1+Supuestos!$B$5)^MAX($E$9-1,0),0)</f>
        <v/>
      </c>
      <c r="N89" s="14">
        <f>IF(N$88=$E$9,-$E$8*(1+Supuestos!$B$5)^MAX($E$9-1,0),0)</f>
        <v/>
      </c>
      <c r="O89" s="14">
        <f>IF(O$88=$E$9,-$E$8*(1+Supuestos!$B$5)^MAX($E$9-1,0),0)</f>
        <v/>
      </c>
      <c r="P89" s="14">
        <f>IF(P$88=$E$9,-$E$8*(1+Supuestos!$B$5)^MAX($E$9-1,0),0)</f>
        <v/>
      </c>
      <c r="Q89" s="14">
        <f>IF(Q$88=$E$9,-$E$8*(1+Supuestos!$B$5)^MAX($E$9-1,0),0)</f>
        <v/>
      </c>
      <c r="R89" s="14">
        <f>IF(R$88=$E$9,-$E$8*(1+Supuestos!$B$5)^MAX($E$9-1,0),0)</f>
        <v/>
      </c>
      <c r="S89" s="14">
        <f>IF(S$88=$E$9,-$E$8*(1+Supuestos!$B$5)^MAX($E$9-1,0),0)</f>
        <v/>
      </c>
      <c r="T89" s="14">
        <f>IF(T$88=$E$9,-$E$8*(1+Supuestos!$B$5)^MAX($E$9-1,0),0)</f>
        <v/>
      </c>
      <c r="U89" s="14">
        <f>IF(U$88=$E$9,-$E$8*(1+Supuestos!$B$5)^MAX($E$9-1,0),0)</f>
        <v/>
      </c>
      <c r="V89" s="14">
        <f>IF(V$88=$E$9,-$E$8*(1+Supuestos!$B$5)^MAX($E$9-1,0),0)</f>
        <v/>
      </c>
      <c r="W89" s="14">
        <f>IF(W$88=$E$9,-$E$8*(1+Supuestos!$B$5)^MAX($E$9-1,0),0)</f>
        <v/>
      </c>
    </row>
    <row r="90">
      <c r="A90" s="21" t="inlineStr">
        <is>
          <t xml:space="preserve">  Ingresos cobrados - fase 1</t>
        </is>
      </c>
      <c r="C90" s="14">
        <f>IF((C$88-$E$9)&gt;=1,CHOOSE(Supuestos!$B$3,$E$10,$E$11,$E$12)*12*CHOOSE(Supuestos!$B$3,$E$13,$E$14,$E$15)*IF((C$88-$E$9)=1,$E$19,IF((C$88-$E$9)=2,$E$20,1))*(1+Supuestos!$B$5)^MAX(C$88-1,0),0)</f>
        <v/>
      </c>
      <c r="D90" s="14">
        <f>IF((D$88-$E$9)&gt;=1,CHOOSE(Supuestos!$B$3,$E$10,$E$11,$E$12)*12*CHOOSE(Supuestos!$B$3,$E$13,$E$14,$E$15)*IF((D$88-$E$9)=1,$E$19,IF((D$88-$E$9)=2,$E$20,1))*(1+Supuestos!$B$5)^MAX(D$88-1,0),0)</f>
        <v/>
      </c>
      <c r="E90" s="14">
        <f>IF((E$88-$E$9)&gt;=1,CHOOSE(Supuestos!$B$3,$E$10,$E$11,$E$12)*12*CHOOSE(Supuestos!$B$3,$E$13,$E$14,$E$15)*IF((E$88-$E$9)=1,$E$19,IF((E$88-$E$9)=2,$E$20,1))*(1+Supuestos!$B$5)^MAX(E$88-1,0),0)</f>
        <v/>
      </c>
      <c r="F90" s="14">
        <f>IF((F$88-$E$9)&gt;=1,CHOOSE(Supuestos!$B$3,$E$10,$E$11,$E$12)*12*CHOOSE(Supuestos!$B$3,$E$13,$E$14,$E$15)*IF((F$88-$E$9)=1,$E$19,IF((F$88-$E$9)=2,$E$20,1))*(1+Supuestos!$B$5)^MAX(F$88-1,0),0)</f>
        <v/>
      </c>
      <c r="G90" s="14">
        <f>IF((G$88-$E$9)&gt;=1,CHOOSE(Supuestos!$B$3,$E$10,$E$11,$E$12)*12*CHOOSE(Supuestos!$B$3,$E$13,$E$14,$E$15)*IF((G$88-$E$9)=1,$E$19,IF((G$88-$E$9)=2,$E$20,1))*(1+Supuestos!$B$5)^MAX(G$88-1,0),0)</f>
        <v/>
      </c>
      <c r="H90" s="14">
        <f>IF((H$88-$E$9)&gt;=1,CHOOSE(Supuestos!$B$3,$E$10,$E$11,$E$12)*12*CHOOSE(Supuestos!$B$3,$E$13,$E$14,$E$15)*IF((H$88-$E$9)=1,$E$19,IF((H$88-$E$9)=2,$E$20,1))*(1+Supuestos!$B$5)^MAX(H$88-1,0),0)</f>
        <v/>
      </c>
      <c r="I90" s="14">
        <f>IF((I$88-$E$9)&gt;=1,CHOOSE(Supuestos!$B$3,$E$10,$E$11,$E$12)*12*CHOOSE(Supuestos!$B$3,$E$13,$E$14,$E$15)*IF((I$88-$E$9)=1,$E$19,IF((I$88-$E$9)=2,$E$20,1))*(1+Supuestos!$B$5)^MAX(I$88-1,0),0)</f>
        <v/>
      </c>
      <c r="J90" s="14">
        <f>IF((J$88-$E$9)&gt;=1,CHOOSE(Supuestos!$B$3,$E$10,$E$11,$E$12)*12*CHOOSE(Supuestos!$B$3,$E$13,$E$14,$E$15)*IF((J$88-$E$9)=1,$E$19,IF((J$88-$E$9)=2,$E$20,1))*(1+Supuestos!$B$5)^MAX(J$88-1,0),0)</f>
        <v/>
      </c>
      <c r="K90" s="14">
        <f>IF((K$88-$E$9)&gt;=1,CHOOSE(Supuestos!$B$3,$E$10,$E$11,$E$12)*12*CHOOSE(Supuestos!$B$3,$E$13,$E$14,$E$15)*IF((K$88-$E$9)=1,$E$19,IF((K$88-$E$9)=2,$E$20,1))*(1+Supuestos!$B$5)^MAX(K$88-1,0),0)</f>
        <v/>
      </c>
      <c r="L90" s="14">
        <f>IF((L$88-$E$9)&gt;=1,CHOOSE(Supuestos!$B$3,$E$10,$E$11,$E$12)*12*CHOOSE(Supuestos!$B$3,$E$13,$E$14,$E$15)*IF((L$88-$E$9)=1,$E$19,IF((L$88-$E$9)=2,$E$20,1))*(1+Supuestos!$B$5)^MAX(L$88-1,0),0)</f>
        <v/>
      </c>
      <c r="M90" s="14">
        <f>IF((M$88-$E$9)&gt;=1,CHOOSE(Supuestos!$B$3,$E$10,$E$11,$E$12)*12*CHOOSE(Supuestos!$B$3,$E$13,$E$14,$E$15)*IF((M$88-$E$9)=1,$E$19,IF((M$88-$E$9)=2,$E$20,1))*(1+Supuestos!$B$5)^MAX(M$88-1,0),0)</f>
        <v/>
      </c>
      <c r="N90" s="14">
        <f>IF((N$88-$E$9)&gt;=1,CHOOSE(Supuestos!$B$3,$E$10,$E$11,$E$12)*12*CHOOSE(Supuestos!$B$3,$E$13,$E$14,$E$15)*IF((N$88-$E$9)=1,$E$19,IF((N$88-$E$9)=2,$E$20,1))*(1+Supuestos!$B$5)^MAX(N$88-1,0),0)</f>
        <v/>
      </c>
      <c r="O90" s="14">
        <f>IF((O$88-$E$9)&gt;=1,CHOOSE(Supuestos!$B$3,$E$10,$E$11,$E$12)*12*CHOOSE(Supuestos!$B$3,$E$13,$E$14,$E$15)*IF((O$88-$E$9)=1,$E$19,IF((O$88-$E$9)=2,$E$20,1))*(1+Supuestos!$B$5)^MAX(O$88-1,0),0)</f>
        <v/>
      </c>
      <c r="P90" s="14">
        <f>IF((P$88-$E$9)&gt;=1,CHOOSE(Supuestos!$B$3,$E$10,$E$11,$E$12)*12*CHOOSE(Supuestos!$B$3,$E$13,$E$14,$E$15)*IF((P$88-$E$9)=1,$E$19,IF((P$88-$E$9)=2,$E$20,1))*(1+Supuestos!$B$5)^MAX(P$88-1,0),0)</f>
        <v/>
      </c>
      <c r="Q90" s="14">
        <f>IF((Q$88-$E$9)&gt;=1,CHOOSE(Supuestos!$B$3,$E$10,$E$11,$E$12)*12*CHOOSE(Supuestos!$B$3,$E$13,$E$14,$E$15)*IF((Q$88-$E$9)=1,$E$19,IF((Q$88-$E$9)=2,$E$20,1))*(1+Supuestos!$B$5)^MAX(Q$88-1,0),0)</f>
        <v/>
      </c>
      <c r="R90" s="14">
        <f>IF((R$88-$E$9)&gt;=1,CHOOSE(Supuestos!$B$3,$E$10,$E$11,$E$12)*12*CHOOSE(Supuestos!$B$3,$E$13,$E$14,$E$15)*IF((R$88-$E$9)=1,$E$19,IF((R$88-$E$9)=2,$E$20,1))*(1+Supuestos!$B$5)^MAX(R$88-1,0),0)</f>
        <v/>
      </c>
      <c r="S90" s="14">
        <f>IF((S$88-$E$9)&gt;=1,CHOOSE(Supuestos!$B$3,$E$10,$E$11,$E$12)*12*CHOOSE(Supuestos!$B$3,$E$13,$E$14,$E$15)*IF((S$88-$E$9)=1,$E$19,IF((S$88-$E$9)=2,$E$20,1))*(1+Supuestos!$B$5)^MAX(S$88-1,0),0)</f>
        <v/>
      </c>
      <c r="T90" s="14">
        <f>IF((T$88-$E$9)&gt;=1,CHOOSE(Supuestos!$B$3,$E$10,$E$11,$E$12)*12*CHOOSE(Supuestos!$B$3,$E$13,$E$14,$E$15)*IF((T$88-$E$9)=1,$E$19,IF((T$88-$E$9)=2,$E$20,1))*(1+Supuestos!$B$5)^MAX(T$88-1,0),0)</f>
        <v/>
      </c>
      <c r="U90" s="14">
        <f>IF((U$88-$E$9)&gt;=1,CHOOSE(Supuestos!$B$3,$E$10,$E$11,$E$12)*12*CHOOSE(Supuestos!$B$3,$E$13,$E$14,$E$15)*IF((U$88-$E$9)=1,$E$19,IF((U$88-$E$9)=2,$E$20,1))*(1+Supuestos!$B$5)^MAX(U$88-1,0),0)</f>
        <v/>
      </c>
      <c r="V90" s="14">
        <f>IF((V$88-$E$9)&gt;=1,CHOOSE(Supuestos!$B$3,$E$10,$E$11,$E$12)*12*CHOOSE(Supuestos!$B$3,$E$13,$E$14,$E$15)*IF((V$88-$E$9)=1,$E$19,IF((V$88-$E$9)=2,$E$20,1))*(1+Supuestos!$B$5)^MAX(V$88-1,0),0)</f>
        <v/>
      </c>
      <c r="W90" s="14">
        <f>IF((W$88-$E$9)&gt;=1,CHOOSE(Supuestos!$B$3,$E$10,$E$11,$E$12)*12*CHOOSE(Supuestos!$B$3,$E$13,$E$14,$E$15)*IF((W$88-$E$9)=1,$E$19,IF((W$88-$E$9)=2,$E$20,1))*(1+Supuestos!$B$5)^MAX(W$88-1,0),0)</f>
        <v/>
      </c>
    </row>
    <row r="91">
      <c r="A91" s="21" t="inlineStr">
        <is>
          <t xml:space="preserve">  Gastos - fase 1</t>
        </is>
      </c>
      <c r="C91" s="14">
        <f>IF((C$88-$E$9)&gt;=1,-$E$16*(1+Supuestos!$B$5)^MAX(C$88-1,0)-$E$17*C90,0)</f>
        <v/>
      </c>
      <c r="D91" s="14">
        <f>IF((D$88-$E$9)&gt;=1,-$E$16*(1+Supuestos!$B$5)^MAX(D$88-1,0)-$E$17*D90,0)</f>
        <v/>
      </c>
      <c r="E91" s="14">
        <f>IF((E$88-$E$9)&gt;=1,-$E$16*(1+Supuestos!$B$5)^MAX(E$88-1,0)-$E$17*E90,0)</f>
        <v/>
      </c>
      <c r="F91" s="14">
        <f>IF((F$88-$E$9)&gt;=1,-$E$16*(1+Supuestos!$B$5)^MAX(F$88-1,0)-$E$17*F90,0)</f>
        <v/>
      </c>
      <c r="G91" s="14">
        <f>IF((G$88-$E$9)&gt;=1,-$E$16*(1+Supuestos!$B$5)^MAX(G$88-1,0)-$E$17*G90,0)</f>
        <v/>
      </c>
      <c r="H91" s="14">
        <f>IF((H$88-$E$9)&gt;=1,-$E$16*(1+Supuestos!$B$5)^MAX(H$88-1,0)-$E$17*H90,0)</f>
        <v/>
      </c>
      <c r="I91" s="14">
        <f>IF((I$88-$E$9)&gt;=1,-$E$16*(1+Supuestos!$B$5)^MAX(I$88-1,0)-$E$17*I90,0)</f>
        <v/>
      </c>
      <c r="J91" s="14">
        <f>IF((J$88-$E$9)&gt;=1,-$E$16*(1+Supuestos!$B$5)^MAX(J$88-1,0)-$E$17*J90,0)</f>
        <v/>
      </c>
      <c r="K91" s="14">
        <f>IF((K$88-$E$9)&gt;=1,-$E$16*(1+Supuestos!$B$5)^MAX(K$88-1,0)-$E$17*K90,0)</f>
        <v/>
      </c>
      <c r="L91" s="14">
        <f>IF((L$88-$E$9)&gt;=1,-$E$16*(1+Supuestos!$B$5)^MAX(L$88-1,0)-$E$17*L90,0)</f>
        <v/>
      </c>
      <c r="M91" s="14">
        <f>IF((M$88-$E$9)&gt;=1,-$E$16*(1+Supuestos!$B$5)^MAX(M$88-1,0)-$E$17*M90,0)</f>
        <v/>
      </c>
      <c r="N91" s="14">
        <f>IF((N$88-$E$9)&gt;=1,-$E$16*(1+Supuestos!$B$5)^MAX(N$88-1,0)-$E$17*N90,0)</f>
        <v/>
      </c>
      <c r="O91" s="14">
        <f>IF((O$88-$E$9)&gt;=1,-$E$16*(1+Supuestos!$B$5)^MAX(O$88-1,0)-$E$17*O90,0)</f>
        <v/>
      </c>
      <c r="P91" s="14">
        <f>IF((P$88-$E$9)&gt;=1,-$E$16*(1+Supuestos!$B$5)^MAX(P$88-1,0)-$E$17*P90,0)</f>
        <v/>
      </c>
      <c r="Q91" s="14">
        <f>IF((Q$88-$E$9)&gt;=1,-$E$16*(1+Supuestos!$B$5)^MAX(Q$88-1,0)-$E$17*Q90,0)</f>
        <v/>
      </c>
      <c r="R91" s="14">
        <f>IF((R$88-$E$9)&gt;=1,-$E$16*(1+Supuestos!$B$5)^MAX(R$88-1,0)-$E$17*R90,0)</f>
        <v/>
      </c>
      <c r="S91" s="14">
        <f>IF((S$88-$E$9)&gt;=1,-$E$16*(1+Supuestos!$B$5)^MAX(S$88-1,0)-$E$17*S90,0)</f>
        <v/>
      </c>
      <c r="T91" s="14">
        <f>IF((T$88-$E$9)&gt;=1,-$E$16*(1+Supuestos!$B$5)^MAX(T$88-1,0)-$E$17*T90,0)</f>
        <v/>
      </c>
      <c r="U91" s="14">
        <f>IF((U$88-$E$9)&gt;=1,-$E$16*(1+Supuestos!$B$5)^MAX(U$88-1,0)-$E$17*U90,0)</f>
        <v/>
      </c>
      <c r="V91" s="14">
        <f>IF((V$88-$E$9)&gt;=1,-$E$16*(1+Supuestos!$B$5)^MAX(V$88-1,0)-$E$17*V90,0)</f>
        <v/>
      </c>
      <c r="W91" s="14">
        <f>IF((W$88-$E$9)&gt;=1,-$E$16*(1+Supuestos!$B$5)^MAX(W$88-1,0)-$E$17*W90,0)</f>
        <v/>
      </c>
    </row>
    <row r="92">
      <c r="A92" s="21" t="inlineStr">
        <is>
          <t xml:space="preserve">  Impuestos - fase 1</t>
        </is>
      </c>
      <c r="C92" s="14">
        <f>-$E$18*C90</f>
        <v/>
      </c>
      <c r="D92" s="14">
        <f>-$E$18*D90</f>
        <v/>
      </c>
      <c r="E92" s="14">
        <f>-$E$18*E90</f>
        <v/>
      </c>
      <c r="F92" s="14">
        <f>-$E$18*F90</f>
        <v/>
      </c>
      <c r="G92" s="14">
        <f>-$E$18*G90</f>
        <v/>
      </c>
      <c r="H92" s="14">
        <f>-$E$18*H90</f>
        <v/>
      </c>
      <c r="I92" s="14">
        <f>-$E$18*I90</f>
        <v/>
      </c>
      <c r="J92" s="14">
        <f>-$E$18*J90</f>
        <v/>
      </c>
      <c r="K92" s="14">
        <f>-$E$18*K90</f>
        <v/>
      </c>
      <c r="L92" s="14">
        <f>-$E$18*L90</f>
        <v/>
      </c>
      <c r="M92" s="14">
        <f>-$E$18*M90</f>
        <v/>
      </c>
      <c r="N92" s="14">
        <f>-$E$18*N90</f>
        <v/>
      </c>
      <c r="O92" s="14">
        <f>-$E$18*O90</f>
        <v/>
      </c>
      <c r="P92" s="14">
        <f>-$E$18*P90</f>
        <v/>
      </c>
      <c r="Q92" s="14">
        <f>-$E$18*Q90</f>
        <v/>
      </c>
      <c r="R92" s="14">
        <f>-$E$18*R90</f>
        <v/>
      </c>
      <c r="S92" s="14">
        <f>-$E$18*S90</f>
        <v/>
      </c>
      <c r="T92" s="14">
        <f>-$E$18*T90</f>
        <v/>
      </c>
      <c r="U92" s="14">
        <f>-$E$18*U90</f>
        <v/>
      </c>
      <c r="V92" s="14">
        <f>-$E$18*V90</f>
        <v/>
      </c>
      <c r="W92" s="14">
        <f>-$E$18*W90</f>
        <v/>
      </c>
    </row>
    <row r="93">
      <c r="A93" s="21" t="inlineStr">
        <is>
          <t xml:space="preserve">  Reposiciones - fase 1</t>
        </is>
      </c>
      <c r="C93" s="14">
        <f>0</f>
        <v/>
      </c>
      <c r="D93" s="14">
        <f>0</f>
        <v/>
      </c>
      <c r="E93" s="14">
        <f>0</f>
        <v/>
      </c>
      <c r="F93" s="14">
        <f>0</f>
        <v/>
      </c>
      <c r="G93" s="14">
        <f>0</f>
        <v/>
      </c>
      <c r="H93" s="14">
        <f>0</f>
        <v/>
      </c>
      <c r="I93" s="14">
        <f>0</f>
        <v/>
      </c>
      <c r="J93" s="14">
        <f>0</f>
        <v/>
      </c>
      <c r="K93" s="14">
        <f>0</f>
        <v/>
      </c>
      <c r="L93" s="14">
        <f>0</f>
        <v/>
      </c>
      <c r="M93" s="14">
        <f>0</f>
        <v/>
      </c>
      <c r="N93" s="14">
        <f>0</f>
        <v/>
      </c>
      <c r="O93" s="14">
        <f>0</f>
        <v/>
      </c>
      <c r="P93" s="14">
        <f>0</f>
        <v/>
      </c>
      <c r="Q93" s="14">
        <f>0</f>
        <v/>
      </c>
      <c r="R93" s="14">
        <f>0</f>
        <v/>
      </c>
      <c r="S93" s="14">
        <f>0</f>
        <v/>
      </c>
      <c r="T93" s="14">
        <f>0</f>
        <v/>
      </c>
      <c r="U93" s="14">
        <f>0</f>
        <v/>
      </c>
      <c r="V93" s="14">
        <f>0</f>
        <v/>
      </c>
      <c r="W93" s="14">
        <f>0</f>
        <v/>
      </c>
    </row>
    <row r="94">
      <c r="A94" s="21" t="inlineStr">
        <is>
          <t xml:space="preserve">  Valor residual (año 20) - fase 1</t>
        </is>
      </c>
      <c r="C94" s="14">
        <f>IF(AND(C$88=20,$E$21&gt;1),$E$8*(1+Supuestos!$B$5)^MAX($E$9-1,0)*MAX(0,1-(20-$E$9)/$E$21),0)</f>
        <v/>
      </c>
      <c r="D94" s="14">
        <f>IF(AND(D$88=20,$E$21&gt;1),$E$8*(1+Supuestos!$B$5)^MAX($E$9-1,0)*MAX(0,1-(20-$E$9)/$E$21),0)</f>
        <v/>
      </c>
      <c r="E94" s="14">
        <f>IF(AND(E$88=20,$E$21&gt;1),$E$8*(1+Supuestos!$B$5)^MAX($E$9-1,0)*MAX(0,1-(20-$E$9)/$E$21),0)</f>
        <v/>
      </c>
      <c r="F94" s="14">
        <f>IF(AND(F$88=20,$E$21&gt;1),$E$8*(1+Supuestos!$B$5)^MAX($E$9-1,0)*MAX(0,1-(20-$E$9)/$E$21),0)</f>
        <v/>
      </c>
      <c r="G94" s="14">
        <f>IF(AND(G$88=20,$E$21&gt;1),$E$8*(1+Supuestos!$B$5)^MAX($E$9-1,0)*MAX(0,1-(20-$E$9)/$E$21),0)</f>
        <v/>
      </c>
      <c r="H94" s="14">
        <f>IF(AND(H$88=20,$E$21&gt;1),$E$8*(1+Supuestos!$B$5)^MAX($E$9-1,0)*MAX(0,1-(20-$E$9)/$E$21),0)</f>
        <v/>
      </c>
      <c r="I94" s="14">
        <f>IF(AND(I$88=20,$E$21&gt;1),$E$8*(1+Supuestos!$B$5)^MAX($E$9-1,0)*MAX(0,1-(20-$E$9)/$E$21),0)</f>
        <v/>
      </c>
      <c r="J94" s="14">
        <f>IF(AND(J$88=20,$E$21&gt;1),$E$8*(1+Supuestos!$B$5)^MAX($E$9-1,0)*MAX(0,1-(20-$E$9)/$E$21),0)</f>
        <v/>
      </c>
      <c r="K94" s="14">
        <f>IF(AND(K$88=20,$E$21&gt;1),$E$8*(1+Supuestos!$B$5)^MAX($E$9-1,0)*MAX(0,1-(20-$E$9)/$E$21),0)</f>
        <v/>
      </c>
      <c r="L94" s="14">
        <f>IF(AND(L$88=20,$E$21&gt;1),$E$8*(1+Supuestos!$B$5)^MAX($E$9-1,0)*MAX(0,1-(20-$E$9)/$E$21),0)</f>
        <v/>
      </c>
      <c r="M94" s="14">
        <f>IF(AND(M$88=20,$E$21&gt;1),$E$8*(1+Supuestos!$B$5)^MAX($E$9-1,0)*MAX(0,1-(20-$E$9)/$E$21),0)</f>
        <v/>
      </c>
      <c r="N94" s="14">
        <f>IF(AND(N$88=20,$E$21&gt;1),$E$8*(1+Supuestos!$B$5)^MAX($E$9-1,0)*MAX(0,1-(20-$E$9)/$E$21),0)</f>
        <v/>
      </c>
      <c r="O94" s="14">
        <f>IF(AND(O$88=20,$E$21&gt;1),$E$8*(1+Supuestos!$B$5)^MAX($E$9-1,0)*MAX(0,1-(20-$E$9)/$E$21),0)</f>
        <v/>
      </c>
      <c r="P94" s="14">
        <f>IF(AND(P$88=20,$E$21&gt;1),$E$8*(1+Supuestos!$B$5)^MAX($E$9-1,0)*MAX(0,1-(20-$E$9)/$E$21),0)</f>
        <v/>
      </c>
      <c r="Q94" s="14">
        <f>IF(AND(Q$88=20,$E$21&gt;1),$E$8*(1+Supuestos!$B$5)^MAX($E$9-1,0)*MAX(0,1-(20-$E$9)/$E$21),0)</f>
        <v/>
      </c>
      <c r="R94" s="14">
        <f>IF(AND(R$88=20,$E$21&gt;1),$E$8*(1+Supuestos!$B$5)^MAX($E$9-1,0)*MAX(0,1-(20-$E$9)/$E$21),0)</f>
        <v/>
      </c>
      <c r="S94" s="14">
        <f>IF(AND(S$88=20,$E$21&gt;1),$E$8*(1+Supuestos!$B$5)^MAX($E$9-1,0)*MAX(0,1-(20-$E$9)/$E$21),0)</f>
        <v/>
      </c>
      <c r="T94" s="14">
        <f>IF(AND(T$88=20,$E$21&gt;1),$E$8*(1+Supuestos!$B$5)^MAX($E$9-1,0)*MAX(0,1-(20-$E$9)/$E$21),0)</f>
        <v/>
      </c>
      <c r="U94" s="14">
        <f>IF(AND(U$88=20,$E$21&gt;1),$E$8*(1+Supuestos!$B$5)^MAX($E$9-1,0)*MAX(0,1-(20-$E$9)/$E$21),0)</f>
        <v/>
      </c>
      <c r="V94" s="14">
        <f>IF(AND(V$88=20,$E$21&gt;1),$E$8*(1+Supuestos!$B$5)^MAX($E$9-1,0)*MAX(0,1-(20-$E$9)/$E$21),0)</f>
        <v/>
      </c>
      <c r="W94" s="14">
        <f>IF(AND(W$88=20,$E$21&gt;1),$E$8*(1+Supuestos!$B$5)^MAX($E$9-1,0)*MAX(0,1-(20-$E$9)/$E$21),0)</f>
        <v/>
      </c>
    </row>
    <row r="95">
      <c r="A95" s="21" t="inlineStr">
        <is>
          <t xml:space="preserve">  Inversión - fase 2</t>
        </is>
      </c>
      <c r="C95" s="14">
        <f>IF(C$88=$E$28,-$E$27*(1+Supuestos!$B$5)^MAX($E$28-1,0),0)</f>
        <v/>
      </c>
      <c r="D95" s="14">
        <f>IF(D$88=$E$28,-$E$27*(1+Supuestos!$B$5)^MAX($E$28-1,0),0)</f>
        <v/>
      </c>
      <c r="E95" s="14">
        <f>IF(E$88=$E$28,-$E$27*(1+Supuestos!$B$5)^MAX($E$28-1,0),0)</f>
        <v/>
      </c>
      <c r="F95" s="14">
        <f>IF(F$88=$E$28,-$E$27*(1+Supuestos!$B$5)^MAX($E$28-1,0),0)</f>
        <v/>
      </c>
      <c r="G95" s="14">
        <f>IF(G$88=$E$28,-$E$27*(1+Supuestos!$B$5)^MAX($E$28-1,0),0)</f>
        <v/>
      </c>
      <c r="H95" s="14">
        <f>IF(H$88=$E$28,-$E$27*(1+Supuestos!$B$5)^MAX($E$28-1,0),0)</f>
        <v/>
      </c>
      <c r="I95" s="14">
        <f>IF(I$88=$E$28,-$E$27*(1+Supuestos!$B$5)^MAX($E$28-1,0),0)</f>
        <v/>
      </c>
      <c r="J95" s="14">
        <f>IF(J$88=$E$28,-$E$27*(1+Supuestos!$B$5)^MAX($E$28-1,0),0)</f>
        <v/>
      </c>
      <c r="K95" s="14">
        <f>IF(K$88=$E$28,-$E$27*(1+Supuestos!$B$5)^MAX($E$28-1,0),0)</f>
        <v/>
      </c>
      <c r="L95" s="14">
        <f>IF(L$88=$E$28,-$E$27*(1+Supuestos!$B$5)^MAX($E$28-1,0),0)</f>
        <v/>
      </c>
      <c r="M95" s="14">
        <f>IF(M$88=$E$28,-$E$27*(1+Supuestos!$B$5)^MAX($E$28-1,0),0)</f>
        <v/>
      </c>
      <c r="N95" s="14">
        <f>IF(N$88=$E$28,-$E$27*(1+Supuestos!$B$5)^MAX($E$28-1,0),0)</f>
        <v/>
      </c>
      <c r="O95" s="14">
        <f>IF(O$88=$E$28,-$E$27*(1+Supuestos!$B$5)^MAX($E$28-1,0),0)</f>
        <v/>
      </c>
      <c r="P95" s="14">
        <f>IF(P$88=$E$28,-$E$27*(1+Supuestos!$B$5)^MAX($E$28-1,0),0)</f>
        <v/>
      </c>
      <c r="Q95" s="14">
        <f>IF(Q$88=$E$28,-$E$27*(1+Supuestos!$B$5)^MAX($E$28-1,0),0)</f>
        <v/>
      </c>
      <c r="R95" s="14">
        <f>IF(R$88=$E$28,-$E$27*(1+Supuestos!$B$5)^MAX($E$28-1,0),0)</f>
        <v/>
      </c>
      <c r="S95" s="14">
        <f>IF(S$88=$E$28,-$E$27*(1+Supuestos!$B$5)^MAX($E$28-1,0),0)</f>
        <v/>
      </c>
      <c r="T95" s="14">
        <f>IF(T$88=$E$28,-$E$27*(1+Supuestos!$B$5)^MAX($E$28-1,0),0)</f>
        <v/>
      </c>
      <c r="U95" s="14">
        <f>IF(U$88=$E$28,-$E$27*(1+Supuestos!$B$5)^MAX($E$28-1,0),0)</f>
        <v/>
      </c>
      <c r="V95" s="14">
        <f>IF(V$88=$E$28,-$E$27*(1+Supuestos!$B$5)^MAX($E$28-1,0),0)</f>
        <v/>
      </c>
      <c r="W95" s="14">
        <f>IF(W$88=$E$28,-$E$27*(1+Supuestos!$B$5)^MAX($E$28-1,0),0)</f>
        <v/>
      </c>
    </row>
    <row r="96">
      <c r="A96" s="21" t="inlineStr">
        <is>
          <t xml:space="preserve">  Ingresos cobrados - fase 2</t>
        </is>
      </c>
      <c r="C96" s="14">
        <f>IF((C$88-$E$28)&gt;=1,CHOOSE(Supuestos!$B$3,$E$29,$E$30,$E$31)*12*CHOOSE(Supuestos!$B$3,$E$32,$E$33,$E$34)*IF((C$88-$E$28)=1,$E$38,IF((C$88-$E$28)=2,$E$39,1))*(1+Supuestos!$B$5)^MAX(C$88-1,0),0)</f>
        <v/>
      </c>
      <c r="D96" s="14">
        <f>IF((D$88-$E$28)&gt;=1,CHOOSE(Supuestos!$B$3,$E$29,$E$30,$E$31)*12*CHOOSE(Supuestos!$B$3,$E$32,$E$33,$E$34)*IF((D$88-$E$28)=1,$E$38,IF((D$88-$E$28)=2,$E$39,1))*(1+Supuestos!$B$5)^MAX(D$88-1,0),0)</f>
        <v/>
      </c>
      <c r="E96" s="14">
        <f>IF((E$88-$E$28)&gt;=1,CHOOSE(Supuestos!$B$3,$E$29,$E$30,$E$31)*12*CHOOSE(Supuestos!$B$3,$E$32,$E$33,$E$34)*IF((E$88-$E$28)=1,$E$38,IF((E$88-$E$28)=2,$E$39,1))*(1+Supuestos!$B$5)^MAX(E$88-1,0),0)</f>
        <v/>
      </c>
      <c r="F96" s="14">
        <f>IF((F$88-$E$28)&gt;=1,CHOOSE(Supuestos!$B$3,$E$29,$E$30,$E$31)*12*CHOOSE(Supuestos!$B$3,$E$32,$E$33,$E$34)*IF((F$88-$E$28)=1,$E$38,IF((F$88-$E$28)=2,$E$39,1))*(1+Supuestos!$B$5)^MAX(F$88-1,0),0)</f>
        <v/>
      </c>
      <c r="G96" s="14">
        <f>IF((G$88-$E$28)&gt;=1,CHOOSE(Supuestos!$B$3,$E$29,$E$30,$E$31)*12*CHOOSE(Supuestos!$B$3,$E$32,$E$33,$E$34)*IF((G$88-$E$28)=1,$E$38,IF((G$88-$E$28)=2,$E$39,1))*(1+Supuestos!$B$5)^MAX(G$88-1,0),0)</f>
        <v/>
      </c>
      <c r="H96" s="14">
        <f>IF((H$88-$E$28)&gt;=1,CHOOSE(Supuestos!$B$3,$E$29,$E$30,$E$31)*12*CHOOSE(Supuestos!$B$3,$E$32,$E$33,$E$34)*IF((H$88-$E$28)=1,$E$38,IF((H$88-$E$28)=2,$E$39,1))*(1+Supuestos!$B$5)^MAX(H$88-1,0),0)</f>
        <v/>
      </c>
      <c r="I96" s="14">
        <f>IF((I$88-$E$28)&gt;=1,CHOOSE(Supuestos!$B$3,$E$29,$E$30,$E$31)*12*CHOOSE(Supuestos!$B$3,$E$32,$E$33,$E$34)*IF((I$88-$E$28)=1,$E$38,IF((I$88-$E$28)=2,$E$39,1))*(1+Supuestos!$B$5)^MAX(I$88-1,0),0)</f>
        <v/>
      </c>
      <c r="J96" s="14">
        <f>IF((J$88-$E$28)&gt;=1,CHOOSE(Supuestos!$B$3,$E$29,$E$30,$E$31)*12*CHOOSE(Supuestos!$B$3,$E$32,$E$33,$E$34)*IF((J$88-$E$28)=1,$E$38,IF((J$88-$E$28)=2,$E$39,1))*(1+Supuestos!$B$5)^MAX(J$88-1,0),0)</f>
        <v/>
      </c>
      <c r="K96" s="14">
        <f>IF((K$88-$E$28)&gt;=1,CHOOSE(Supuestos!$B$3,$E$29,$E$30,$E$31)*12*CHOOSE(Supuestos!$B$3,$E$32,$E$33,$E$34)*IF((K$88-$E$28)=1,$E$38,IF((K$88-$E$28)=2,$E$39,1))*(1+Supuestos!$B$5)^MAX(K$88-1,0),0)</f>
        <v/>
      </c>
      <c r="L96" s="14">
        <f>IF((L$88-$E$28)&gt;=1,CHOOSE(Supuestos!$B$3,$E$29,$E$30,$E$31)*12*CHOOSE(Supuestos!$B$3,$E$32,$E$33,$E$34)*IF((L$88-$E$28)=1,$E$38,IF((L$88-$E$28)=2,$E$39,1))*(1+Supuestos!$B$5)^MAX(L$88-1,0),0)</f>
        <v/>
      </c>
      <c r="M96" s="14">
        <f>IF((M$88-$E$28)&gt;=1,CHOOSE(Supuestos!$B$3,$E$29,$E$30,$E$31)*12*CHOOSE(Supuestos!$B$3,$E$32,$E$33,$E$34)*IF((M$88-$E$28)=1,$E$38,IF((M$88-$E$28)=2,$E$39,1))*(1+Supuestos!$B$5)^MAX(M$88-1,0),0)</f>
        <v/>
      </c>
      <c r="N96" s="14">
        <f>IF((N$88-$E$28)&gt;=1,CHOOSE(Supuestos!$B$3,$E$29,$E$30,$E$31)*12*CHOOSE(Supuestos!$B$3,$E$32,$E$33,$E$34)*IF((N$88-$E$28)=1,$E$38,IF((N$88-$E$28)=2,$E$39,1))*(1+Supuestos!$B$5)^MAX(N$88-1,0),0)</f>
        <v/>
      </c>
      <c r="O96" s="14">
        <f>IF((O$88-$E$28)&gt;=1,CHOOSE(Supuestos!$B$3,$E$29,$E$30,$E$31)*12*CHOOSE(Supuestos!$B$3,$E$32,$E$33,$E$34)*IF((O$88-$E$28)=1,$E$38,IF((O$88-$E$28)=2,$E$39,1))*(1+Supuestos!$B$5)^MAX(O$88-1,0),0)</f>
        <v/>
      </c>
      <c r="P96" s="14">
        <f>IF((P$88-$E$28)&gt;=1,CHOOSE(Supuestos!$B$3,$E$29,$E$30,$E$31)*12*CHOOSE(Supuestos!$B$3,$E$32,$E$33,$E$34)*IF((P$88-$E$28)=1,$E$38,IF((P$88-$E$28)=2,$E$39,1))*(1+Supuestos!$B$5)^MAX(P$88-1,0),0)</f>
        <v/>
      </c>
      <c r="Q96" s="14">
        <f>IF((Q$88-$E$28)&gt;=1,CHOOSE(Supuestos!$B$3,$E$29,$E$30,$E$31)*12*CHOOSE(Supuestos!$B$3,$E$32,$E$33,$E$34)*IF((Q$88-$E$28)=1,$E$38,IF((Q$88-$E$28)=2,$E$39,1))*(1+Supuestos!$B$5)^MAX(Q$88-1,0),0)</f>
        <v/>
      </c>
      <c r="R96" s="14">
        <f>IF((R$88-$E$28)&gt;=1,CHOOSE(Supuestos!$B$3,$E$29,$E$30,$E$31)*12*CHOOSE(Supuestos!$B$3,$E$32,$E$33,$E$34)*IF((R$88-$E$28)=1,$E$38,IF((R$88-$E$28)=2,$E$39,1))*(1+Supuestos!$B$5)^MAX(R$88-1,0),0)</f>
        <v/>
      </c>
      <c r="S96" s="14">
        <f>IF((S$88-$E$28)&gt;=1,CHOOSE(Supuestos!$B$3,$E$29,$E$30,$E$31)*12*CHOOSE(Supuestos!$B$3,$E$32,$E$33,$E$34)*IF((S$88-$E$28)=1,$E$38,IF((S$88-$E$28)=2,$E$39,1))*(1+Supuestos!$B$5)^MAX(S$88-1,0),0)</f>
        <v/>
      </c>
      <c r="T96" s="14">
        <f>IF((T$88-$E$28)&gt;=1,CHOOSE(Supuestos!$B$3,$E$29,$E$30,$E$31)*12*CHOOSE(Supuestos!$B$3,$E$32,$E$33,$E$34)*IF((T$88-$E$28)=1,$E$38,IF((T$88-$E$28)=2,$E$39,1))*(1+Supuestos!$B$5)^MAX(T$88-1,0),0)</f>
        <v/>
      </c>
      <c r="U96" s="14">
        <f>IF((U$88-$E$28)&gt;=1,CHOOSE(Supuestos!$B$3,$E$29,$E$30,$E$31)*12*CHOOSE(Supuestos!$B$3,$E$32,$E$33,$E$34)*IF((U$88-$E$28)=1,$E$38,IF((U$88-$E$28)=2,$E$39,1))*(1+Supuestos!$B$5)^MAX(U$88-1,0),0)</f>
        <v/>
      </c>
      <c r="V96" s="14">
        <f>IF((V$88-$E$28)&gt;=1,CHOOSE(Supuestos!$B$3,$E$29,$E$30,$E$31)*12*CHOOSE(Supuestos!$B$3,$E$32,$E$33,$E$34)*IF((V$88-$E$28)=1,$E$38,IF((V$88-$E$28)=2,$E$39,1))*(1+Supuestos!$B$5)^MAX(V$88-1,0),0)</f>
        <v/>
      </c>
      <c r="W96" s="14">
        <f>IF((W$88-$E$28)&gt;=1,CHOOSE(Supuestos!$B$3,$E$29,$E$30,$E$31)*12*CHOOSE(Supuestos!$B$3,$E$32,$E$33,$E$34)*IF((W$88-$E$28)=1,$E$38,IF((W$88-$E$28)=2,$E$39,1))*(1+Supuestos!$B$5)^MAX(W$88-1,0),0)</f>
        <v/>
      </c>
    </row>
    <row r="97">
      <c r="A97" s="21" t="inlineStr">
        <is>
          <t xml:space="preserve">  Gastos - fase 2</t>
        </is>
      </c>
      <c r="C97" s="14">
        <f>IF((C$88-$E$28)&gt;=1,-$E$35*(1+Supuestos!$B$5)^MAX(C$88-1,0)-$E$36*C96,0)</f>
        <v/>
      </c>
      <c r="D97" s="14">
        <f>IF((D$88-$E$28)&gt;=1,-$E$35*(1+Supuestos!$B$5)^MAX(D$88-1,0)-$E$36*D96,0)</f>
        <v/>
      </c>
      <c r="E97" s="14">
        <f>IF((E$88-$E$28)&gt;=1,-$E$35*(1+Supuestos!$B$5)^MAX(E$88-1,0)-$E$36*E96,0)</f>
        <v/>
      </c>
      <c r="F97" s="14">
        <f>IF((F$88-$E$28)&gt;=1,-$E$35*(1+Supuestos!$B$5)^MAX(F$88-1,0)-$E$36*F96,0)</f>
        <v/>
      </c>
      <c r="G97" s="14">
        <f>IF((G$88-$E$28)&gt;=1,-$E$35*(1+Supuestos!$B$5)^MAX(G$88-1,0)-$E$36*G96,0)</f>
        <v/>
      </c>
      <c r="H97" s="14">
        <f>IF((H$88-$E$28)&gt;=1,-$E$35*(1+Supuestos!$B$5)^MAX(H$88-1,0)-$E$36*H96,0)</f>
        <v/>
      </c>
      <c r="I97" s="14">
        <f>IF((I$88-$E$28)&gt;=1,-$E$35*(1+Supuestos!$B$5)^MAX(I$88-1,0)-$E$36*I96,0)</f>
        <v/>
      </c>
      <c r="J97" s="14">
        <f>IF((J$88-$E$28)&gt;=1,-$E$35*(1+Supuestos!$B$5)^MAX(J$88-1,0)-$E$36*J96,0)</f>
        <v/>
      </c>
      <c r="K97" s="14">
        <f>IF((K$88-$E$28)&gt;=1,-$E$35*(1+Supuestos!$B$5)^MAX(K$88-1,0)-$E$36*K96,0)</f>
        <v/>
      </c>
      <c r="L97" s="14">
        <f>IF((L$88-$E$28)&gt;=1,-$E$35*(1+Supuestos!$B$5)^MAX(L$88-1,0)-$E$36*L96,0)</f>
        <v/>
      </c>
      <c r="M97" s="14">
        <f>IF((M$88-$E$28)&gt;=1,-$E$35*(1+Supuestos!$B$5)^MAX(M$88-1,0)-$E$36*M96,0)</f>
        <v/>
      </c>
      <c r="N97" s="14">
        <f>IF((N$88-$E$28)&gt;=1,-$E$35*(1+Supuestos!$B$5)^MAX(N$88-1,0)-$E$36*N96,0)</f>
        <v/>
      </c>
      <c r="O97" s="14">
        <f>IF((O$88-$E$28)&gt;=1,-$E$35*(1+Supuestos!$B$5)^MAX(O$88-1,0)-$E$36*O96,0)</f>
        <v/>
      </c>
      <c r="P97" s="14">
        <f>IF((P$88-$E$28)&gt;=1,-$E$35*(1+Supuestos!$B$5)^MAX(P$88-1,0)-$E$36*P96,0)</f>
        <v/>
      </c>
      <c r="Q97" s="14">
        <f>IF((Q$88-$E$28)&gt;=1,-$E$35*(1+Supuestos!$B$5)^MAX(Q$88-1,0)-$E$36*Q96,0)</f>
        <v/>
      </c>
      <c r="R97" s="14">
        <f>IF((R$88-$E$28)&gt;=1,-$E$35*(1+Supuestos!$B$5)^MAX(R$88-1,0)-$E$36*R96,0)</f>
        <v/>
      </c>
      <c r="S97" s="14">
        <f>IF((S$88-$E$28)&gt;=1,-$E$35*(1+Supuestos!$B$5)^MAX(S$88-1,0)-$E$36*S96,0)</f>
        <v/>
      </c>
      <c r="T97" s="14">
        <f>IF((T$88-$E$28)&gt;=1,-$E$35*(1+Supuestos!$B$5)^MAX(T$88-1,0)-$E$36*T96,0)</f>
        <v/>
      </c>
      <c r="U97" s="14">
        <f>IF((U$88-$E$28)&gt;=1,-$E$35*(1+Supuestos!$B$5)^MAX(U$88-1,0)-$E$36*U96,0)</f>
        <v/>
      </c>
      <c r="V97" s="14">
        <f>IF((V$88-$E$28)&gt;=1,-$E$35*(1+Supuestos!$B$5)^MAX(V$88-1,0)-$E$36*V96,0)</f>
        <v/>
      </c>
      <c r="W97" s="14">
        <f>IF((W$88-$E$28)&gt;=1,-$E$35*(1+Supuestos!$B$5)^MAX(W$88-1,0)-$E$36*W96,0)</f>
        <v/>
      </c>
    </row>
    <row r="98">
      <c r="A98" s="21" t="inlineStr">
        <is>
          <t xml:space="preserve">  Impuestos - fase 2</t>
        </is>
      </c>
      <c r="C98" s="14">
        <f>-$E$37*C96</f>
        <v/>
      </c>
      <c r="D98" s="14">
        <f>-$E$37*D96</f>
        <v/>
      </c>
      <c r="E98" s="14">
        <f>-$E$37*E96</f>
        <v/>
      </c>
      <c r="F98" s="14">
        <f>-$E$37*F96</f>
        <v/>
      </c>
      <c r="G98" s="14">
        <f>-$E$37*G96</f>
        <v/>
      </c>
      <c r="H98" s="14">
        <f>-$E$37*H96</f>
        <v/>
      </c>
      <c r="I98" s="14">
        <f>-$E$37*I96</f>
        <v/>
      </c>
      <c r="J98" s="14">
        <f>-$E$37*J96</f>
        <v/>
      </c>
      <c r="K98" s="14">
        <f>-$E$37*K96</f>
        <v/>
      </c>
      <c r="L98" s="14">
        <f>-$E$37*L96</f>
        <v/>
      </c>
      <c r="M98" s="14">
        <f>-$E$37*M96</f>
        <v/>
      </c>
      <c r="N98" s="14">
        <f>-$E$37*N96</f>
        <v/>
      </c>
      <c r="O98" s="14">
        <f>-$E$37*O96</f>
        <v/>
      </c>
      <c r="P98" s="14">
        <f>-$E$37*P96</f>
        <v/>
      </c>
      <c r="Q98" s="14">
        <f>-$E$37*Q96</f>
        <v/>
      </c>
      <c r="R98" s="14">
        <f>-$E$37*R96</f>
        <v/>
      </c>
      <c r="S98" s="14">
        <f>-$E$37*S96</f>
        <v/>
      </c>
      <c r="T98" s="14">
        <f>-$E$37*T96</f>
        <v/>
      </c>
      <c r="U98" s="14">
        <f>-$E$37*U96</f>
        <v/>
      </c>
      <c r="V98" s="14">
        <f>-$E$37*V96</f>
        <v/>
      </c>
      <c r="W98" s="14">
        <f>-$E$37*W96</f>
        <v/>
      </c>
    </row>
    <row r="99">
      <c r="A99" s="21" t="inlineStr">
        <is>
          <t xml:space="preserve">  Reposiciones - fase 2</t>
        </is>
      </c>
      <c r="C99" s="14">
        <f>0</f>
        <v/>
      </c>
      <c r="D99" s="14">
        <f>0</f>
        <v/>
      </c>
      <c r="E99" s="14">
        <f>0</f>
        <v/>
      </c>
      <c r="F99" s="14">
        <f>0</f>
        <v/>
      </c>
      <c r="G99" s="14">
        <f>0</f>
        <v/>
      </c>
      <c r="H99" s="14">
        <f>0</f>
        <v/>
      </c>
      <c r="I99" s="14">
        <f>0</f>
        <v/>
      </c>
      <c r="J99" s="14">
        <f>0</f>
        <v/>
      </c>
      <c r="K99" s="14">
        <f>0</f>
        <v/>
      </c>
      <c r="L99" s="14">
        <f>0</f>
        <v/>
      </c>
      <c r="M99" s="14">
        <f>0</f>
        <v/>
      </c>
      <c r="N99" s="14">
        <f>0</f>
        <v/>
      </c>
      <c r="O99" s="14">
        <f>0</f>
        <v/>
      </c>
      <c r="P99" s="14">
        <f>0</f>
        <v/>
      </c>
      <c r="Q99" s="14">
        <f>0</f>
        <v/>
      </c>
      <c r="R99" s="14">
        <f>0</f>
        <v/>
      </c>
      <c r="S99" s="14">
        <f>0</f>
        <v/>
      </c>
      <c r="T99" s="14">
        <f>0</f>
        <v/>
      </c>
      <c r="U99" s="14">
        <f>0</f>
        <v/>
      </c>
      <c r="V99" s="14">
        <f>0</f>
        <v/>
      </c>
      <c r="W99" s="14">
        <f>0</f>
        <v/>
      </c>
    </row>
    <row r="100">
      <c r="A100" s="21" t="inlineStr">
        <is>
          <t xml:space="preserve">  Valor residual (año 20) - fase 2</t>
        </is>
      </c>
      <c r="C100" s="14">
        <f>IF(AND(C$88=20,$E$40&gt;1),$E$27*(1+Supuestos!$B$5)^MAX($E$28-1,0)*MAX(0,1-(20-$E$28)/$E$40),0)</f>
        <v/>
      </c>
      <c r="D100" s="14">
        <f>IF(AND(D$88=20,$E$40&gt;1),$E$27*(1+Supuestos!$B$5)^MAX($E$28-1,0)*MAX(0,1-(20-$E$28)/$E$40),0)</f>
        <v/>
      </c>
      <c r="E100" s="14">
        <f>IF(AND(E$88=20,$E$40&gt;1),$E$27*(1+Supuestos!$B$5)^MAX($E$28-1,0)*MAX(0,1-(20-$E$28)/$E$40),0)</f>
        <v/>
      </c>
      <c r="F100" s="14">
        <f>IF(AND(F$88=20,$E$40&gt;1),$E$27*(1+Supuestos!$B$5)^MAX($E$28-1,0)*MAX(0,1-(20-$E$28)/$E$40),0)</f>
        <v/>
      </c>
      <c r="G100" s="14">
        <f>IF(AND(G$88=20,$E$40&gt;1),$E$27*(1+Supuestos!$B$5)^MAX($E$28-1,0)*MAX(0,1-(20-$E$28)/$E$40),0)</f>
        <v/>
      </c>
      <c r="H100" s="14">
        <f>IF(AND(H$88=20,$E$40&gt;1),$E$27*(1+Supuestos!$B$5)^MAX($E$28-1,0)*MAX(0,1-(20-$E$28)/$E$40),0)</f>
        <v/>
      </c>
      <c r="I100" s="14">
        <f>IF(AND(I$88=20,$E$40&gt;1),$E$27*(1+Supuestos!$B$5)^MAX($E$28-1,0)*MAX(0,1-(20-$E$28)/$E$40),0)</f>
        <v/>
      </c>
      <c r="J100" s="14">
        <f>IF(AND(J$88=20,$E$40&gt;1),$E$27*(1+Supuestos!$B$5)^MAX($E$28-1,0)*MAX(0,1-(20-$E$28)/$E$40),0)</f>
        <v/>
      </c>
      <c r="K100" s="14">
        <f>IF(AND(K$88=20,$E$40&gt;1),$E$27*(1+Supuestos!$B$5)^MAX($E$28-1,0)*MAX(0,1-(20-$E$28)/$E$40),0)</f>
        <v/>
      </c>
      <c r="L100" s="14">
        <f>IF(AND(L$88=20,$E$40&gt;1),$E$27*(1+Supuestos!$B$5)^MAX($E$28-1,0)*MAX(0,1-(20-$E$28)/$E$40),0)</f>
        <v/>
      </c>
      <c r="M100" s="14">
        <f>IF(AND(M$88=20,$E$40&gt;1),$E$27*(1+Supuestos!$B$5)^MAX($E$28-1,0)*MAX(0,1-(20-$E$28)/$E$40),0)</f>
        <v/>
      </c>
      <c r="N100" s="14">
        <f>IF(AND(N$88=20,$E$40&gt;1),$E$27*(1+Supuestos!$B$5)^MAX($E$28-1,0)*MAX(0,1-(20-$E$28)/$E$40),0)</f>
        <v/>
      </c>
      <c r="O100" s="14">
        <f>IF(AND(O$88=20,$E$40&gt;1),$E$27*(1+Supuestos!$B$5)^MAX($E$28-1,0)*MAX(0,1-(20-$E$28)/$E$40),0)</f>
        <v/>
      </c>
      <c r="P100" s="14">
        <f>IF(AND(P$88=20,$E$40&gt;1),$E$27*(1+Supuestos!$B$5)^MAX($E$28-1,0)*MAX(0,1-(20-$E$28)/$E$40),0)</f>
        <v/>
      </c>
      <c r="Q100" s="14">
        <f>IF(AND(Q$88=20,$E$40&gt;1),$E$27*(1+Supuestos!$B$5)^MAX($E$28-1,0)*MAX(0,1-(20-$E$28)/$E$40),0)</f>
        <v/>
      </c>
      <c r="R100" s="14">
        <f>IF(AND(R$88=20,$E$40&gt;1),$E$27*(1+Supuestos!$B$5)^MAX($E$28-1,0)*MAX(0,1-(20-$E$28)/$E$40),0)</f>
        <v/>
      </c>
      <c r="S100" s="14">
        <f>IF(AND(S$88=20,$E$40&gt;1),$E$27*(1+Supuestos!$B$5)^MAX($E$28-1,0)*MAX(0,1-(20-$E$28)/$E$40),0)</f>
        <v/>
      </c>
      <c r="T100" s="14">
        <f>IF(AND(T$88=20,$E$40&gt;1),$E$27*(1+Supuestos!$B$5)^MAX($E$28-1,0)*MAX(0,1-(20-$E$28)/$E$40),0)</f>
        <v/>
      </c>
      <c r="U100" s="14">
        <f>IF(AND(U$88=20,$E$40&gt;1),$E$27*(1+Supuestos!$B$5)^MAX($E$28-1,0)*MAX(0,1-(20-$E$28)/$E$40),0)</f>
        <v/>
      </c>
      <c r="V100" s="14">
        <f>IF(AND(V$88=20,$E$40&gt;1),$E$27*(1+Supuestos!$B$5)^MAX($E$28-1,0)*MAX(0,1-(20-$E$28)/$E$40),0)</f>
        <v/>
      </c>
      <c r="W100" s="14">
        <f>IF(AND(W$88=20,$E$40&gt;1),$E$27*(1+Supuestos!$B$5)^MAX($E$28-1,0)*MAX(0,1-(20-$E$28)/$E$40),0)</f>
        <v/>
      </c>
    </row>
    <row r="101">
      <c r="A101" s="21" t="inlineStr">
        <is>
          <t xml:space="preserve">  Inversión - fase 3</t>
        </is>
      </c>
      <c r="C101" s="14">
        <f>IF(C$88=$E$51,-$E$50*(1+Supuestos!$B$5)^MAX($E$51-1,0),0)</f>
        <v/>
      </c>
      <c r="D101" s="14">
        <f>IF(D$88=$E$51,-$E$50*(1+Supuestos!$B$5)^MAX($E$51-1,0),0)</f>
        <v/>
      </c>
      <c r="E101" s="14">
        <f>IF(E$88=$E$51,-$E$50*(1+Supuestos!$B$5)^MAX($E$51-1,0),0)</f>
        <v/>
      </c>
      <c r="F101" s="14">
        <f>IF(F$88=$E$51,-$E$50*(1+Supuestos!$B$5)^MAX($E$51-1,0),0)</f>
        <v/>
      </c>
      <c r="G101" s="14">
        <f>IF(G$88=$E$51,-$E$50*(1+Supuestos!$B$5)^MAX($E$51-1,0),0)</f>
        <v/>
      </c>
      <c r="H101" s="14">
        <f>IF(H$88=$E$51,-$E$50*(1+Supuestos!$B$5)^MAX($E$51-1,0),0)</f>
        <v/>
      </c>
      <c r="I101" s="14">
        <f>IF(I$88=$E$51,-$E$50*(1+Supuestos!$B$5)^MAX($E$51-1,0),0)</f>
        <v/>
      </c>
      <c r="J101" s="14">
        <f>IF(J$88=$E$51,-$E$50*(1+Supuestos!$B$5)^MAX($E$51-1,0),0)</f>
        <v/>
      </c>
      <c r="K101" s="14">
        <f>IF(K$88=$E$51,-$E$50*(1+Supuestos!$B$5)^MAX($E$51-1,0),0)</f>
        <v/>
      </c>
      <c r="L101" s="14">
        <f>IF(L$88=$E$51,-$E$50*(1+Supuestos!$B$5)^MAX($E$51-1,0),0)</f>
        <v/>
      </c>
      <c r="M101" s="14">
        <f>IF(M$88=$E$51,-$E$50*(1+Supuestos!$B$5)^MAX($E$51-1,0),0)</f>
        <v/>
      </c>
      <c r="N101" s="14">
        <f>IF(N$88=$E$51,-$E$50*(1+Supuestos!$B$5)^MAX($E$51-1,0),0)</f>
        <v/>
      </c>
      <c r="O101" s="14">
        <f>IF(O$88=$E$51,-$E$50*(1+Supuestos!$B$5)^MAX($E$51-1,0),0)</f>
        <v/>
      </c>
      <c r="P101" s="14">
        <f>IF(P$88=$E$51,-$E$50*(1+Supuestos!$B$5)^MAX($E$51-1,0),0)</f>
        <v/>
      </c>
      <c r="Q101" s="14">
        <f>IF(Q$88=$E$51,-$E$50*(1+Supuestos!$B$5)^MAX($E$51-1,0),0)</f>
        <v/>
      </c>
      <c r="R101" s="14">
        <f>IF(R$88=$E$51,-$E$50*(1+Supuestos!$B$5)^MAX($E$51-1,0),0)</f>
        <v/>
      </c>
      <c r="S101" s="14">
        <f>IF(S$88=$E$51,-$E$50*(1+Supuestos!$B$5)^MAX($E$51-1,0),0)</f>
        <v/>
      </c>
      <c r="T101" s="14">
        <f>IF(T$88=$E$51,-$E$50*(1+Supuestos!$B$5)^MAX($E$51-1,0),0)</f>
        <v/>
      </c>
      <c r="U101" s="14">
        <f>IF(U$88=$E$51,-$E$50*(1+Supuestos!$B$5)^MAX($E$51-1,0),0)</f>
        <v/>
      </c>
      <c r="V101" s="14">
        <f>IF(V$88=$E$51,-$E$50*(1+Supuestos!$B$5)^MAX($E$51-1,0),0)</f>
        <v/>
      </c>
      <c r="W101" s="14">
        <f>IF(W$88=$E$51,-$E$50*(1+Supuestos!$B$5)^MAX($E$51-1,0),0)</f>
        <v/>
      </c>
    </row>
    <row r="102">
      <c r="A102" s="21" t="inlineStr">
        <is>
          <t xml:space="preserve">  Ingresos cobrados - fase 3</t>
        </is>
      </c>
      <c r="C102" s="14">
        <f>IF((C$88-$E$51)&gt;=1,CHOOSE(Supuestos!$B$3,$E$52,$E$53,$E$54)*12*CHOOSE(Supuestos!$B$3,$E$55,$E$56,$E$57)*IF((C$88-$E$51)=1,$E$61,IF((C$88-$E$51)=2,$E$62,1))*(1+Supuestos!$B$5)^MAX(C$88-1,0),0)</f>
        <v/>
      </c>
      <c r="D102" s="14">
        <f>IF((D$88-$E$51)&gt;=1,CHOOSE(Supuestos!$B$3,$E$52,$E$53,$E$54)*12*CHOOSE(Supuestos!$B$3,$E$55,$E$56,$E$57)*IF((D$88-$E$51)=1,$E$61,IF((D$88-$E$51)=2,$E$62,1))*(1+Supuestos!$B$5)^MAX(D$88-1,0),0)</f>
        <v/>
      </c>
      <c r="E102" s="14">
        <f>IF((E$88-$E$51)&gt;=1,CHOOSE(Supuestos!$B$3,$E$52,$E$53,$E$54)*12*CHOOSE(Supuestos!$B$3,$E$55,$E$56,$E$57)*IF((E$88-$E$51)=1,$E$61,IF((E$88-$E$51)=2,$E$62,1))*(1+Supuestos!$B$5)^MAX(E$88-1,0),0)</f>
        <v/>
      </c>
      <c r="F102" s="14">
        <f>IF((F$88-$E$51)&gt;=1,CHOOSE(Supuestos!$B$3,$E$52,$E$53,$E$54)*12*CHOOSE(Supuestos!$B$3,$E$55,$E$56,$E$57)*IF((F$88-$E$51)=1,$E$61,IF((F$88-$E$51)=2,$E$62,1))*(1+Supuestos!$B$5)^MAX(F$88-1,0),0)</f>
        <v/>
      </c>
      <c r="G102" s="14">
        <f>IF((G$88-$E$51)&gt;=1,CHOOSE(Supuestos!$B$3,$E$52,$E$53,$E$54)*12*CHOOSE(Supuestos!$B$3,$E$55,$E$56,$E$57)*IF((G$88-$E$51)=1,$E$61,IF((G$88-$E$51)=2,$E$62,1))*(1+Supuestos!$B$5)^MAX(G$88-1,0),0)</f>
        <v/>
      </c>
      <c r="H102" s="14">
        <f>IF((H$88-$E$51)&gt;=1,CHOOSE(Supuestos!$B$3,$E$52,$E$53,$E$54)*12*CHOOSE(Supuestos!$B$3,$E$55,$E$56,$E$57)*IF((H$88-$E$51)=1,$E$61,IF((H$88-$E$51)=2,$E$62,1))*(1+Supuestos!$B$5)^MAX(H$88-1,0),0)</f>
        <v/>
      </c>
      <c r="I102" s="14">
        <f>IF((I$88-$E$51)&gt;=1,CHOOSE(Supuestos!$B$3,$E$52,$E$53,$E$54)*12*CHOOSE(Supuestos!$B$3,$E$55,$E$56,$E$57)*IF((I$88-$E$51)=1,$E$61,IF((I$88-$E$51)=2,$E$62,1))*(1+Supuestos!$B$5)^MAX(I$88-1,0),0)</f>
        <v/>
      </c>
      <c r="J102" s="14">
        <f>IF((J$88-$E$51)&gt;=1,CHOOSE(Supuestos!$B$3,$E$52,$E$53,$E$54)*12*CHOOSE(Supuestos!$B$3,$E$55,$E$56,$E$57)*IF((J$88-$E$51)=1,$E$61,IF((J$88-$E$51)=2,$E$62,1))*(1+Supuestos!$B$5)^MAX(J$88-1,0),0)</f>
        <v/>
      </c>
      <c r="K102" s="14">
        <f>IF((K$88-$E$51)&gt;=1,CHOOSE(Supuestos!$B$3,$E$52,$E$53,$E$54)*12*CHOOSE(Supuestos!$B$3,$E$55,$E$56,$E$57)*IF((K$88-$E$51)=1,$E$61,IF((K$88-$E$51)=2,$E$62,1))*(1+Supuestos!$B$5)^MAX(K$88-1,0),0)</f>
        <v/>
      </c>
      <c r="L102" s="14">
        <f>IF((L$88-$E$51)&gt;=1,CHOOSE(Supuestos!$B$3,$E$52,$E$53,$E$54)*12*CHOOSE(Supuestos!$B$3,$E$55,$E$56,$E$57)*IF((L$88-$E$51)=1,$E$61,IF((L$88-$E$51)=2,$E$62,1))*(1+Supuestos!$B$5)^MAX(L$88-1,0),0)</f>
        <v/>
      </c>
      <c r="M102" s="14">
        <f>IF((M$88-$E$51)&gt;=1,CHOOSE(Supuestos!$B$3,$E$52,$E$53,$E$54)*12*CHOOSE(Supuestos!$B$3,$E$55,$E$56,$E$57)*IF((M$88-$E$51)=1,$E$61,IF((M$88-$E$51)=2,$E$62,1))*(1+Supuestos!$B$5)^MAX(M$88-1,0),0)</f>
        <v/>
      </c>
      <c r="N102" s="14">
        <f>IF((N$88-$E$51)&gt;=1,CHOOSE(Supuestos!$B$3,$E$52,$E$53,$E$54)*12*CHOOSE(Supuestos!$B$3,$E$55,$E$56,$E$57)*IF((N$88-$E$51)=1,$E$61,IF((N$88-$E$51)=2,$E$62,1))*(1+Supuestos!$B$5)^MAX(N$88-1,0),0)</f>
        <v/>
      </c>
      <c r="O102" s="14">
        <f>IF((O$88-$E$51)&gt;=1,CHOOSE(Supuestos!$B$3,$E$52,$E$53,$E$54)*12*CHOOSE(Supuestos!$B$3,$E$55,$E$56,$E$57)*IF((O$88-$E$51)=1,$E$61,IF((O$88-$E$51)=2,$E$62,1))*(1+Supuestos!$B$5)^MAX(O$88-1,0),0)</f>
        <v/>
      </c>
      <c r="P102" s="14">
        <f>IF((P$88-$E$51)&gt;=1,CHOOSE(Supuestos!$B$3,$E$52,$E$53,$E$54)*12*CHOOSE(Supuestos!$B$3,$E$55,$E$56,$E$57)*IF((P$88-$E$51)=1,$E$61,IF((P$88-$E$51)=2,$E$62,1))*(1+Supuestos!$B$5)^MAX(P$88-1,0),0)</f>
        <v/>
      </c>
      <c r="Q102" s="14">
        <f>IF((Q$88-$E$51)&gt;=1,CHOOSE(Supuestos!$B$3,$E$52,$E$53,$E$54)*12*CHOOSE(Supuestos!$B$3,$E$55,$E$56,$E$57)*IF((Q$88-$E$51)=1,$E$61,IF((Q$88-$E$51)=2,$E$62,1))*(1+Supuestos!$B$5)^MAX(Q$88-1,0),0)</f>
        <v/>
      </c>
      <c r="R102" s="14">
        <f>IF((R$88-$E$51)&gt;=1,CHOOSE(Supuestos!$B$3,$E$52,$E$53,$E$54)*12*CHOOSE(Supuestos!$B$3,$E$55,$E$56,$E$57)*IF((R$88-$E$51)=1,$E$61,IF((R$88-$E$51)=2,$E$62,1))*(1+Supuestos!$B$5)^MAX(R$88-1,0),0)</f>
        <v/>
      </c>
      <c r="S102" s="14">
        <f>IF((S$88-$E$51)&gt;=1,CHOOSE(Supuestos!$B$3,$E$52,$E$53,$E$54)*12*CHOOSE(Supuestos!$B$3,$E$55,$E$56,$E$57)*IF((S$88-$E$51)=1,$E$61,IF((S$88-$E$51)=2,$E$62,1))*(1+Supuestos!$B$5)^MAX(S$88-1,0),0)</f>
        <v/>
      </c>
      <c r="T102" s="14">
        <f>IF((T$88-$E$51)&gt;=1,CHOOSE(Supuestos!$B$3,$E$52,$E$53,$E$54)*12*CHOOSE(Supuestos!$B$3,$E$55,$E$56,$E$57)*IF((T$88-$E$51)=1,$E$61,IF((T$88-$E$51)=2,$E$62,1))*(1+Supuestos!$B$5)^MAX(T$88-1,0),0)</f>
        <v/>
      </c>
      <c r="U102" s="14">
        <f>IF((U$88-$E$51)&gt;=1,CHOOSE(Supuestos!$B$3,$E$52,$E$53,$E$54)*12*CHOOSE(Supuestos!$B$3,$E$55,$E$56,$E$57)*IF((U$88-$E$51)=1,$E$61,IF((U$88-$E$51)=2,$E$62,1))*(1+Supuestos!$B$5)^MAX(U$88-1,0),0)</f>
        <v/>
      </c>
      <c r="V102" s="14">
        <f>IF((V$88-$E$51)&gt;=1,CHOOSE(Supuestos!$B$3,$E$52,$E$53,$E$54)*12*CHOOSE(Supuestos!$B$3,$E$55,$E$56,$E$57)*IF((V$88-$E$51)=1,$E$61,IF((V$88-$E$51)=2,$E$62,1))*(1+Supuestos!$B$5)^MAX(V$88-1,0),0)</f>
        <v/>
      </c>
      <c r="W102" s="14">
        <f>IF((W$88-$E$51)&gt;=1,CHOOSE(Supuestos!$B$3,$E$52,$E$53,$E$54)*12*CHOOSE(Supuestos!$B$3,$E$55,$E$56,$E$57)*IF((W$88-$E$51)=1,$E$61,IF((W$88-$E$51)=2,$E$62,1))*(1+Supuestos!$B$5)^MAX(W$88-1,0),0)</f>
        <v/>
      </c>
    </row>
    <row r="103">
      <c r="A103" s="21" t="inlineStr">
        <is>
          <t xml:space="preserve">  Gastos - fase 3</t>
        </is>
      </c>
      <c r="C103" s="14">
        <f>IF((C$88-$E$51)&gt;=1,-$E$58*(1+Supuestos!$B$5)^MAX(C$88-1,0)-$E$59*C102,0)</f>
        <v/>
      </c>
      <c r="D103" s="14">
        <f>IF((D$88-$E$51)&gt;=1,-$E$58*(1+Supuestos!$B$5)^MAX(D$88-1,0)-$E$59*D102,0)</f>
        <v/>
      </c>
      <c r="E103" s="14">
        <f>IF((E$88-$E$51)&gt;=1,-$E$58*(1+Supuestos!$B$5)^MAX(E$88-1,0)-$E$59*E102,0)</f>
        <v/>
      </c>
      <c r="F103" s="14">
        <f>IF((F$88-$E$51)&gt;=1,-$E$58*(1+Supuestos!$B$5)^MAX(F$88-1,0)-$E$59*F102,0)</f>
        <v/>
      </c>
      <c r="G103" s="14">
        <f>IF((G$88-$E$51)&gt;=1,-$E$58*(1+Supuestos!$B$5)^MAX(G$88-1,0)-$E$59*G102,0)</f>
        <v/>
      </c>
      <c r="H103" s="14">
        <f>IF((H$88-$E$51)&gt;=1,-$E$58*(1+Supuestos!$B$5)^MAX(H$88-1,0)-$E$59*H102,0)</f>
        <v/>
      </c>
      <c r="I103" s="14">
        <f>IF((I$88-$E$51)&gt;=1,-$E$58*(1+Supuestos!$B$5)^MAX(I$88-1,0)-$E$59*I102,0)</f>
        <v/>
      </c>
      <c r="J103" s="14">
        <f>IF((J$88-$E$51)&gt;=1,-$E$58*(1+Supuestos!$B$5)^MAX(J$88-1,0)-$E$59*J102,0)</f>
        <v/>
      </c>
      <c r="K103" s="14">
        <f>IF((K$88-$E$51)&gt;=1,-$E$58*(1+Supuestos!$B$5)^MAX(K$88-1,0)-$E$59*K102,0)</f>
        <v/>
      </c>
      <c r="L103" s="14">
        <f>IF((L$88-$E$51)&gt;=1,-$E$58*(1+Supuestos!$B$5)^MAX(L$88-1,0)-$E$59*L102,0)</f>
        <v/>
      </c>
      <c r="M103" s="14">
        <f>IF((M$88-$E$51)&gt;=1,-$E$58*(1+Supuestos!$B$5)^MAX(M$88-1,0)-$E$59*M102,0)</f>
        <v/>
      </c>
      <c r="N103" s="14">
        <f>IF((N$88-$E$51)&gt;=1,-$E$58*(1+Supuestos!$B$5)^MAX(N$88-1,0)-$E$59*N102,0)</f>
        <v/>
      </c>
      <c r="O103" s="14">
        <f>IF((O$88-$E$51)&gt;=1,-$E$58*(1+Supuestos!$B$5)^MAX(O$88-1,0)-$E$59*O102,0)</f>
        <v/>
      </c>
      <c r="P103" s="14">
        <f>IF((P$88-$E$51)&gt;=1,-$E$58*(1+Supuestos!$B$5)^MAX(P$88-1,0)-$E$59*P102,0)</f>
        <v/>
      </c>
      <c r="Q103" s="14">
        <f>IF((Q$88-$E$51)&gt;=1,-$E$58*(1+Supuestos!$B$5)^MAX(Q$88-1,0)-$E$59*Q102,0)</f>
        <v/>
      </c>
      <c r="R103" s="14">
        <f>IF((R$88-$E$51)&gt;=1,-$E$58*(1+Supuestos!$B$5)^MAX(R$88-1,0)-$E$59*R102,0)</f>
        <v/>
      </c>
      <c r="S103" s="14">
        <f>IF((S$88-$E$51)&gt;=1,-$E$58*(1+Supuestos!$B$5)^MAX(S$88-1,0)-$E$59*S102,0)</f>
        <v/>
      </c>
      <c r="T103" s="14">
        <f>IF((T$88-$E$51)&gt;=1,-$E$58*(1+Supuestos!$B$5)^MAX(T$88-1,0)-$E$59*T102,0)</f>
        <v/>
      </c>
      <c r="U103" s="14">
        <f>IF((U$88-$E$51)&gt;=1,-$E$58*(1+Supuestos!$B$5)^MAX(U$88-1,0)-$E$59*U102,0)</f>
        <v/>
      </c>
      <c r="V103" s="14">
        <f>IF((V$88-$E$51)&gt;=1,-$E$58*(1+Supuestos!$B$5)^MAX(V$88-1,0)-$E$59*V102,0)</f>
        <v/>
      </c>
      <c r="W103" s="14">
        <f>IF((W$88-$E$51)&gt;=1,-$E$58*(1+Supuestos!$B$5)^MAX(W$88-1,0)-$E$59*W102,0)</f>
        <v/>
      </c>
    </row>
    <row r="104">
      <c r="A104" s="21" t="inlineStr">
        <is>
          <t xml:space="preserve">  Impuestos - fase 3</t>
        </is>
      </c>
      <c r="C104" s="14">
        <f>-$E$60*C102</f>
        <v/>
      </c>
      <c r="D104" s="14">
        <f>-$E$60*D102</f>
        <v/>
      </c>
      <c r="E104" s="14">
        <f>-$E$60*E102</f>
        <v/>
      </c>
      <c r="F104" s="14">
        <f>-$E$60*F102</f>
        <v/>
      </c>
      <c r="G104" s="14">
        <f>-$E$60*G102</f>
        <v/>
      </c>
      <c r="H104" s="14">
        <f>-$E$60*H102</f>
        <v/>
      </c>
      <c r="I104" s="14">
        <f>-$E$60*I102</f>
        <v/>
      </c>
      <c r="J104" s="14">
        <f>-$E$60*J102</f>
        <v/>
      </c>
      <c r="K104" s="14">
        <f>-$E$60*K102</f>
        <v/>
      </c>
      <c r="L104" s="14">
        <f>-$E$60*L102</f>
        <v/>
      </c>
      <c r="M104" s="14">
        <f>-$E$60*M102</f>
        <v/>
      </c>
      <c r="N104" s="14">
        <f>-$E$60*N102</f>
        <v/>
      </c>
      <c r="O104" s="14">
        <f>-$E$60*O102</f>
        <v/>
      </c>
      <c r="P104" s="14">
        <f>-$E$60*P102</f>
        <v/>
      </c>
      <c r="Q104" s="14">
        <f>-$E$60*Q102</f>
        <v/>
      </c>
      <c r="R104" s="14">
        <f>-$E$60*R102</f>
        <v/>
      </c>
      <c r="S104" s="14">
        <f>-$E$60*S102</f>
        <v/>
      </c>
      <c r="T104" s="14">
        <f>-$E$60*T102</f>
        <v/>
      </c>
      <c r="U104" s="14">
        <f>-$E$60*U102</f>
        <v/>
      </c>
      <c r="V104" s="14">
        <f>-$E$60*V102</f>
        <v/>
      </c>
      <c r="W104" s="14">
        <f>-$E$60*W102</f>
        <v/>
      </c>
    </row>
    <row r="105">
      <c r="A105" s="21" t="inlineStr">
        <is>
          <t xml:space="preserve">  Reposiciones - fase 3</t>
        </is>
      </c>
      <c r="C105" s="14">
        <f>IF((C$88-$E$51)=$E$64,-$E$65*(1+Supuestos!$B$5)^MAX(C$88-1,0)*Supuestos!$B$22,0)</f>
        <v/>
      </c>
      <c r="D105" s="14">
        <f>IF((D$88-$E$51)=$E$64,-$E$65*(1+Supuestos!$B$5)^MAX(D$88-1,0)*Supuestos!$B$22,0)</f>
        <v/>
      </c>
      <c r="E105" s="14">
        <f>IF((E$88-$E$51)=$E$64,-$E$65*(1+Supuestos!$B$5)^MAX(E$88-1,0)*Supuestos!$B$22,0)</f>
        <v/>
      </c>
      <c r="F105" s="14">
        <f>IF((F$88-$E$51)=$E$64,-$E$65*(1+Supuestos!$B$5)^MAX(F$88-1,0)*Supuestos!$B$22,0)</f>
        <v/>
      </c>
      <c r="G105" s="14">
        <f>IF((G$88-$E$51)=$E$64,-$E$65*(1+Supuestos!$B$5)^MAX(G$88-1,0)*Supuestos!$B$22,0)</f>
        <v/>
      </c>
      <c r="H105" s="14">
        <f>IF((H$88-$E$51)=$E$64,-$E$65*(1+Supuestos!$B$5)^MAX(H$88-1,0)*Supuestos!$B$22,0)</f>
        <v/>
      </c>
      <c r="I105" s="14">
        <f>IF((I$88-$E$51)=$E$64,-$E$65*(1+Supuestos!$B$5)^MAX(I$88-1,0)*Supuestos!$B$22,0)</f>
        <v/>
      </c>
      <c r="J105" s="14">
        <f>IF((J$88-$E$51)=$E$64,-$E$65*(1+Supuestos!$B$5)^MAX(J$88-1,0)*Supuestos!$B$22,0)</f>
        <v/>
      </c>
      <c r="K105" s="14">
        <f>IF((K$88-$E$51)=$E$64,-$E$65*(1+Supuestos!$B$5)^MAX(K$88-1,0)*Supuestos!$B$22,0)</f>
        <v/>
      </c>
      <c r="L105" s="14">
        <f>IF((L$88-$E$51)=$E$64,-$E$65*(1+Supuestos!$B$5)^MAX(L$88-1,0)*Supuestos!$B$22,0)</f>
        <v/>
      </c>
      <c r="M105" s="14">
        <f>IF((M$88-$E$51)=$E$64,-$E$65*(1+Supuestos!$B$5)^MAX(M$88-1,0)*Supuestos!$B$22,0)</f>
        <v/>
      </c>
      <c r="N105" s="14">
        <f>IF((N$88-$E$51)=$E$64,-$E$65*(1+Supuestos!$B$5)^MAX(N$88-1,0)*Supuestos!$B$22,0)</f>
        <v/>
      </c>
      <c r="O105" s="14">
        <f>IF((O$88-$E$51)=$E$64,-$E$65*(1+Supuestos!$B$5)^MAX(O$88-1,0)*Supuestos!$B$22,0)</f>
        <v/>
      </c>
      <c r="P105" s="14">
        <f>IF((P$88-$E$51)=$E$64,-$E$65*(1+Supuestos!$B$5)^MAX(P$88-1,0)*Supuestos!$B$22,0)</f>
        <v/>
      </c>
      <c r="Q105" s="14">
        <f>IF((Q$88-$E$51)=$E$64,-$E$65*(1+Supuestos!$B$5)^MAX(Q$88-1,0)*Supuestos!$B$22,0)</f>
        <v/>
      </c>
      <c r="R105" s="14">
        <f>IF((R$88-$E$51)=$E$64,-$E$65*(1+Supuestos!$B$5)^MAX(R$88-1,0)*Supuestos!$B$22,0)</f>
        <v/>
      </c>
      <c r="S105" s="14">
        <f>IF((S$88-$E$51)=$E$64,-$E$65*(1+Supuestos!$B$5)^MAX(S$88-1,0)*Supuestos!$B$22,0)</f>
        <v/>
      </c>
      <c r="T105" s="14">
        <f>IF((T$88-$E$51)=$E$64,-$E$65*(1+Supuestos!$B$5)^MAX(T$88-1,0)*Supuestos!$B$22,0)</f>
        <v/>
      </c>
      <c r="U105" s="14">
        <f>IF((U$88-$E$51)=$E$64,-$E$65*(1+Supuestos!$B$5)^MAX(U$88-1,0)*Supuestos!$B$22,0)</f>
        <v/>
      </c>
      <c r="V105" s="14">
        <f>IF((V$88-$E$51)=$E$64,-$E$65*(1+Supuestos!$B$5)^MAX(V$88-1,0)*Supuestos!$B$22,0)</f>
        <v/>
      </c>
      <c r="W105" s="14">
        <f>IF((W$88-$E$51)=$E$64,-$E$65*(1+Supuestos!$B$5)^MAX(W$88-1,0)*Supuestos!$B$22,0)</f>
        <v/>
      </c>
    </row>
    <row r="106">
      <c r="A106" s="21" t="inlineStr">
        <is>
          <t xml:space="preserve">  Valor residual (año 20) - fase 3</t>
        </is>
      </c>
      <c r="C106" s="14">
        <f>IF(AND(C$88=20,$E$63&gt;1),$E$50*(1+Supuestos!$B$5)^MAX($E$51-1,0)*MAX(0,1-(20-$E$51)/$E$63),0)</f>
        <v/>
      </c>
      <c r="D106" s="14">
        <f>IF(AND(D$88=20,$E$63&gt;1),$E$50*(1+Supuestos!$B$5)^MAX($E$51-1,0)*MAX(0,1-(20-$E$51)/$E$63),0)</f>
        <v/>
      </c>
      <c r="E106" s="14">
        <f>IF(AND(E$88=20,$E$63&gt;1),$E$50*(1+Supuestos!$B$5)^MAX($E$51-1,0)*MAX(0,1-(20-$E$51)/$E$63),0)</f>
        <v/>
      </c>
      <c r="F106" s="14">
        <f>IF(AND(F$88=20,$E$63&gt;1),$E$50*(1+Supuestos!$B$5)^MAX($E$51-1,0)*MAX(0,1-(20-$E$51)/$E$63),0)</f>
        <v/>
      </c>
      <c r="G106" s="14">
        <f>IF(AND(G$88=20,$E$63&gt;1),$E$50*(1+Supuestos!$B$5)^MAX($E$51-1,0)*MAX(0,1-(20-$E$51)/$E$63),0)</f>
        <v/>
      </c>
      <c r="H106" s="14">
        <f>IF(AND(H$88=20,$E$63&gt;1),$E$50*(1+Supuestos!$B$5)^MAX($E$51-1,0)*MAX(0,1-(20-$E$51)/$E$63),0)</f>
        <v/>
      </c>
      <c r="I106" s="14">
        <f>IF(AND(I$88=20,$E$63&gt;1),$E$50*(1+Supuestos!$B$5)^MAX($E$51-1,0)*MAX(0,1-(20-$E$51)/$E$63),0)</f>
        <v/>
      </c>
      <c r="J106" s="14">
        <f>IF(AND(J$88=20,$E$63&gt;1),$E$50*(1+Supuestos!$B$5)^MAX($E$51-1,0)*MAX(0,1-(20-$E$51)/$E$63),0)</f>
        <v/>
      </c>
      <c r="K106" s="14">
        <f>IF(AND(K$88=20,$E$63&gt;1),$E$50*(1+Supuestos!$B$5)^MAX($E$51-1,0)*MAX(0,1-(20-$E$51)/$E$63),0)</f>
        <v/>
      </c>
      <c r="L106" s="14">
        <f>IF(AND(L$88=20,$E$63&gt;1),$E$50*(1+Supuestos!$B$5)^MAX($E$51-1,0)*MAX(0,1-(20-$E$51)/$E$63),0)</f>
        <v/>
      </c>
      <c r="M106" s="14">
        <f>IF(AND(M$88=20,$E$63&gt;1),$E$50*(1+Supuestos!$B$5)^MAX($E$51-1,0)*MAX(0,1-(20-$E$51)/$E$63),0)</f>
        <v/>
      </c>
      <c r="N106" s="14">
        <f>IF(AND(N$88=20,$E$63&gt;1),$E$50*(1+Supuestos!$B$5)^MAX($E$51-1,0)*MAX(0,1-(20-$E$51)/$E$63),0)</f>
        <v/>
      </c>
      <c r="O106" s="14">
        <f>IF(AND(O$88=20,$E$63&gt;1),$E$50*(1+Supuestos!$B$5)^MAX($E$51-1,0)*MAX(0,1-(20-$E$51)/$E$63),0)</f>
        <v/>
      </c>
      <c r="P106" s="14">
        <f>IF(AND(P$88=20,$E$63&gt;1),$E$50*(1+Supuestos!$B$5)^MAX($E$51-1,0)*MAX(0,1-(20-$E$51)/$E$63),0)</f>
        <v/>
      </c>
      <c r="Q106" s="14">
        <f>IF(AND(Q$88=20,$E$63&gt;1),$E$50*(1+Supuestos!$B$5)^MAX($E$51-1,0)*MAX(0,1-(20-$E$51)/$E$63),0)</f>
        <v/>
      </c>
      <c r="R106" s="14">
        <f>IF(AND(R$88=20,$E$63&gt;1),$E$50*(1+Supuestos!$B$5)^MAX($E$51-1,0)*MAX(0,1-(20-$E$51)/$E$63),0)</f>
        <v/>
      </c>
      <c r="S106" s="14">
        <f>IF(AND(S$88=20,$E$63&gt;1),$E$50*(1+Supuestos!$B$5)^MAX($E$51-1,0)*MAX(0,1-(20-$E$51)/$E$63),0)</f>
        <v/>
      </c>
      <c r="T106" s="14">
        <f>IF(AND(T$88=20,$E$63&gt;1),$E$50*(1+Supuestos!$B$5)^MAX($E$51-1,0)*MAX(0,1-(20-$E$51)/$E$63),0)</f>
        <v/>
      </c>
      <c r="U106" s="14">
        <f>IF(AND(U$88=20,$E$63&gt;1),$E$50*(1+Supuestos!$B$5)^MAX($E$51-1,0)*MAX(0,1-(20-$E$51)/$E$63),0)</f>
        <v/>
      </c>
      <c r="V106" s="14">
        <f>IF(AND(V$88=20,$E$63&gt;1),$E$50*(1+Supuestos!$B$5)^MAX($E$51-1,0)*MAX(0,1-(20-$E$51)/$E$63),0)</f>
        <v/>
      </c>
      <c r="W106" s="14">
        <f>IF(AND(W$88=20,$E$63&gt;1),$E$50*(1+Supuestos!$B$5)^MAX($E$51-1,0)*MAX(0,1-(20-$E$51)/$E$63),0)</f>
        <v/>
      </c>
    </row>
    <row r="107">
      <c r="A107" s="21" t="inlineStr">
        <is>
          <t xml:space="preserve">  Inversión - fase 4</t>
        </is>
      </c>
      <c r="C107" s="14">
        <f>IF(C$88=$E$73,-$E$72*(1+Supuestos!$B$5)^MAX($E$73-1,0),0)</f>
        <v/>
      </c>
      <c r="D107" s="14">
        <f>IF(D$88=$E$73,-$E$72*(1+Supuestos!$B$5)^MAX($E$73-1,0),0)</f>
        <v/>
      </c>
      <c r="E107" s="14">
        <f>IF(E$88=$E$73,-$E$72*(1+Supuestos!$B$5)^MAX($E$73-1,0),0)</f>
        <v/>
      </c>
      <c r="F107" s="14">
        <f>IF(F$88=$E$73,-$E$72*(1+Supuestos!$B$5)^MAX($E$73-1,0),0)</f>
        <v/>
      </c>
      <c r="G107" s="14">
        <f>IF(G$88=$E$73,-$E$72*(1+Supuestos!$B$5)^MAX($E$73-1,0),0)</f>
        <v/>
      </c>
      <c r="H107" s="14">
        <f>IF(H$88=$E$73,-$E$72*(1+Supuestos!$B$5)^MAX($E$73-1,0),0)</f>
        <v/>
      </c>
      <c r="I107" s="14">
        <f>IF(I$88=$E$73,-$E$72*(1+Supuestos!$B$5)^MAX($E$73-1,0),0)</f>
        <v/>
      </c>
      <c r="J107" s="14">
        <f>IF(J$88=$E$73,-$E$72*(1+Supuestos!$B$5)^MAX($E$73-1,0),0)</f>
        <v/>
      </c>
      <c r="K107" s="14">
        <f>IF(K$88=$E$73,-$E$72*(1+Supuestos!$B$5)^MAX($E$73-1,0),0)</f>
        <v/>
      </c>
      <c r="L107" s="14">
        <f>IF(L$88=$E$73,-$E$72*(1+Supuestos!$B$5)^MAX($E$73-1,0),0)</f>
        <v/>
      </c>
      <c r="M107" s="14">
        <f>IF(M$88=$E$73,-$E$72*(1+Supuestos!$B$5)^MAX($E$73-1,0),0)</f>
        <v/>
      </c>
      <c r="N107" s="14">
        <f>IF(N$88=$E$73,-$E$72*(1+Supuestos!$B$5)^MAX($E$73-1,0),0)</f>
        <v/>
      </c>
      <c r="O107" s="14">
        <f>IF(O$88=$E$73,-$E$72*(1+Supuestos!$B$5)^MAX($E$73-1,0),0)</f>
        <v/>
      </c>
      <c r="P107" s="14">
        <f>IF(P$88=$E$73,-$E$72*(1+Supuestos!$B$5)^MAX($E$73-1,0),0)</f>
        <v/>
      </c>
      <c r="Q107" s="14">
        <f>IF(Q$88=$E$73,-$E$72*(1+Supuestos!$B$5)^MAX($E$73-1,0),0)</f>
        <v/>
      </c>
      <c r="R107" s="14">
        <f>IF(R$88=$E$73,-$E$72*(1+Supuestos!$B$5)^MAX($E$73-1,0),0)</f>
        <v/>
      </c>
      <c r="S107" s="14">
        <f>IF(S$88=$E$73,-$E$72*(1+Supuestos!$B$5)^MAX($E$73-1,0),0)</f>
        <v/>
      </c>
      <c r="T107" s="14">
        <f>IF(T$88=$E$73,-$E$72*(1+Supuestos!$B$5)^MAX($E$73-1,0),0)</f>
        <v/>
      </c>
      <c r="U107" s="14">
        <f>IF(U$88=$E$73,-$E$72*(1+Supuestos!$B$5)^MAX($E$73-1,0),0)</f>
        <v/>
      </c>
      <c r="V107" s="14">
        <f>IF(V$88=$E$73,-$E$72*(1+Supuestos!$B$5)^MAX($E$73-1,0),0)</f>
        <v/>
      </c>
      <c r="W107" s="14">
        <f>IF(W$88=$E$73,-$E$72*(1+Supuestos!$B$5)^MAX($E$73-1,0),0)</f>
        <v/>
      </c>
    </row>
    <row r="108">
      <c r="A108" s="21" t="inlineStr">
        <is>
          <t xml:space="preserve">  Ingresos cobrados - fase 4</t>
        </is>
      </c>
      <c r="C108" s="14">
        <f>IF((C$88-$E$73)&gt;=1,CHOOSE(Supuestos!$B$3,$E$74,$E$75,$E$76)*12*CHOOSE(Supuestos!$B$3,$E$77,$E$78,$E$79)*IF((C$88-$E$73)=1,$E$83,IF((C$88-$E$73)=2,$E$84,1))*(1+Supuestos!$B$5)^MAX(C$88-1,0),0)</f>
        <v/>
      </c>
      <c r="D108" s="14">
        <f>IF((D$88-$E$73)&gt;=1,CHOOSE(Supuestos!$B$3,$E$74,$E$75,$E$76)*12*CHOOSE(Supuestos!$B$3,$E$77,$E$78,$E$79)*IF((D$88-$E$73)=1,$E$83,IF((D$88-$E$73)=2,$E$84,1))*(1+Supuestos!$B$5)^MAX(D$88-1,0),0)</f>
        <v/>
      </c>
      <c r="E108" s="14">
        <f>IF((E$88-$E$73)&gt;=1,CHOOSE(Supuestos!$B$3,$E$74,$E$75,$E$76)*12*CHOOSE(Supuestos!$B$3,$E$77,$E$78,$E$79)*IF((E$88-$E$73)=1,$E$83,IF((E$88-$E$73)=2,$E$84,1))*(1+Supuestos!$B$5)^MAX(E$88-1,0),0)</f>
        <v/>
      </c>
      <c r="F108" s="14">
        <f>IF((F$88-$E$73)&gt;=1,CHOOSE(Supuestos!$B$3,$E$74,$E$75,$E$76)*12*CHOOSE(Supuestos!$B$3,$E$77,$E$78,$E$79)*IF((F$88-$E$73)=1,$E$83,IF((F$88-$E$73)=2,$E$84,1))*(1+Supuestos!$B$5)^MAX(F$88-1,0),0)</f>
        <v/>
      </c>
      <c r="G108" s="14">
        <f>IF((G$88-$E$73)&gt;=1,CHOOSE(Supuestos!$B$3,$E$74,$E$75,$E$76)*12*CHOOSE(Supuestos!$B$3,$E$77,$E$78,$E$79)*IF((G$88-$E$73)=1,$E$83,IF((G$88-$E$73)=2,$E$84,1))*(1+Supuestos!$B$5)^MAX(G$88-1,0),0)</f>
        <v/>
      </c>
      <c r="H108" s="14">
        <f>IF((H$88-$E$73)&gt;=1,CHOOSE(Supuestos!$B$3,$E$74,$E$75,$E$76)*12*CHOOSE(Supuestos!$B$3,$E$77,$E$78,$E$79)*IF((H$88-$E$73)=1,$E$83,IF((H$88-$E$73)=2,$E$84,1))*(1+Supuestos!$B$5)^MAX(H$88-1,0),0)</f>
        <v/>
      </c>
      <c r="I108" s="14">
        <f>IF((I$88-$E$73)&gt;=1,CHOOSE(Supuestos!$B$3,$E$74,$E$75,$E$76)*12*CHOOSE(Supuestos!$B$3,$E$77,$E$78,$E$79)*IF((I$88-$E$73)=1,$E$83,IF((I$88-$E$73)=2,$E$84,1))*(1+Supuestos!$B$5)^MAX(I$88-1,0),0)</f>
        <v/>
      </c>
      <c r="J108" s="14">
        <f>IF((J$88-$E$73)&gt;=1,CHOOSE(Supuestos!$B$3,$E$74,$E$75,$E$76)*12*CHOOSE(Supuestos!$B$3,$E$77,$E$78,$E$79)*IF((J$88-$E$73)=1,$E$83,IF((J$88-$E$73)=2,$E$84,1))*(1+Supuestos!$B$5)^MAX(J$88-1,0),0)</f>
        <v/>
      </c>
      <c r="K108" s="14">
        <f>IF((K$88-$E$73)&gt;=1,CHOOSE(Supuestos!$B$3,$E$74,$E$75,$E$76)*12*CHOOSE(Supuestos!$B$3,$E$77,$E$78,$E$79)*IF((K$88-$E$73)=1,$E$83,IF((K$88-$E$73)=2,$E$84,1))*(1+Supuestos!$B$5)^MAX(K$88-1,0),0)</f>
        <v/>
      </c>
      <c r="L108" s="14">
        <f>IF((L$88-$E$73)&gt;=1,CHOOSE(Supuestos!$B$3,$E$74,$E$75,$E$76)*12*CHOOSE(Supuestos!$B$3,$E$77,$E$78,$E$79)*IF((L$88-$E$73)=1,$E$83,IF((L$88-$E$73)=2,$E$84,1))*(1+Supuestos!$B$5)^MAX(L$88-1,0),0)</f>
        <v/>
      </c>
      <c r="M108" s="14">
        <f>IF((M$88-$E$73)&gt;=1,CHOOSE(Supuestos!$B$3,$E$74,$E$75,$E$76)*12*CHOOSE(Supuestos!$B$3,$E$77,$E$78,$E$79)*IF((M$88-$E$73)=1,$E$83,IF((M$88-$E$73)=2,$E$84,1))*(1+Supuestos!$B$5)^MAX(M$88-1,0),0)</f>
        <v/>
      </c>
      <c r="N108" s="14">
        <f>IF((N$88-$E$73)&gt;=1,CHOOSE(Supuestos!$B$3,$E$74,$E$75,$E$76)*12*CHOOSE(Supuestos!$B$3,$E$77,$E$78,$E$79)*IF((N$88-$E$73)=1,$E$83,IF((N$88-$E$73)=2,$E$84,1))*(1+Supuestos!$B$5)^MAX(N$88-1,0),0)</f>
        <v/>
      </c>
      <c r="O108" s="14">
        <f>IF((O$88-$E$73)&gt;=1,CHOOSE(Supuestos!$B$3,$E$74,$E$75,$E$76)*12*CHOOSE(Supuestos!$B$3,$E$77,$E$78,$E$79)*IF((O$88-$E$73)=1,$E$83,IF((O$88-$E$73)=2,$E$84,1))*(1+Supuestos!$B$5)^MAX(O$88-1,0),0)</f>
        <v/>
      </c>
      <c r="P108" s="14">
        <f>IF((P$88-$E$73)&gt;=1,CHOOSE(Supuestos!$B$3,$E$74,$E$75,$E$76)*12*CHOOSE(Supuestos!$B$3,$E$77,$E$78,$E$79)*IF((P$88-$E$73)=1,$E$83,IF((P$88-$E$73)=2,$E$84,1))*(1+Supuestos!$B$5)^MAX(P$88-1,0),0)</f>
        <v/>
      </c>
      <c r="Q108" s="14">
        <f>IF((Q$88-$E$73)&gt;=1,CHOOSE(Supuestos!$B$3,$E$74,$E$75,$E$76)*12*CHOOSE(Supuestos!$B$3,$E$77,$E$78,$E$79)*IF((Q$88-$E$73)=1,$E$83,IF((Q$88-$E$73)=2,$E$84,1))*(1+Supuestos!$B$5)^MAX(Q$88-1,0),0)</f>
        <v/>
      </c>
      <c r="R108" s="14">
        <f>IF((R$88-$E$73)&gt;=1,CHOOSE(Supuestos!$B$3,$E$74,$E$75,$E$76)*12*CHOOSE(Supuestos!$B$3,$E$77,$E$78,$E$79)*IF((R$88-$E$73)=1,$E$83,IF((R$88-$E$73)=2,$E$84,1))*(1+Supuestos!$B$5)^MAX(R$88-1,0),0)</f>
        <v/>
      </c>
      <c r="S108" s="14">
        <f>IF((S$88-$E$73)&gt;=1,CHOOSE(Supuestos!$B$3,$E$74,$E$75,$E$76)*12*CHOOSE(Supuestos!$B$3,$E$77,$E$78,$E$79)*IF((S$88-$E$73)=1,$E$83,IF((S$88-$E$73)=2,$E$84,1))*(1+Supuestos!$B$5)^MAX(S$88-1,0),0)</f>
        <v/>
      </c>
      <c r="T108" s="14">
        <f>IF((T$88-$E$73)&gt;=1,CHOOSE(Supuestos!$B$3,$E$74,$E$75,$E$76)*12*CHOOSE(Supuestos!$B$3,$E$77,$E$78,$E$79)*IF((T$88-$E$73)=1,$E$83,IF((T$88-$E$73)=2,$E$84,1))*(1+Supuestos!$B$5)^MAX(T$88-1,0),0)</f>
        <v/>
      </c>
      <c r="U108" s="14">
        <f>IF((U$88-$E$73)&gt;=1,CHOOSE(Supuestos!$B$3,$E$74,$E$75,$E$76)*12*CHOOSE(Supuestos!$B$3,$E$77,$E$78,$E$79)*IF((U$88-$E$73)=1,$E$83,IF((U$88-$E$73)=2,$E$84,1))*(1+Supuestos!$B$5)^MAX(U$88-1,0),0)</f>
        <v/>
      </c>
      <c r="V108" s="14">
        <f>IF((V$88-$E$73)&gt;=1,CHOOSE(Supuestos!$B$3,$E$74,$E$75,$E$76)*12*CHOOSE(Supuestos!$B$3,$E$77,$E$78,$E$79)*IF((V$88-$E$73)=1,$E$83,IF((V$88-$E$73)=2,$E$84,1))*(1+Supuestos!$B$5)^MAX(V$88-1,0),0)</f>
        <v/>
      </c>
      <c r="W108" s="14">
        <f>IF((W$88-$E$73)&gt;=1,CHOOSE(Supuestos!$B$3,$E$74,$E$75,$E$76)*12*CHOOSE(Supuestos!$B$3,$E$77,$E$78,$E$79)*IF((W$88-$E$73)=1,$E$83,IF((W$88-$E$73)=2,$E$84,1))*(1+Supuestos!$B$5)^MAX(W$88-1,0),0)</f>
        <v/>
      </c>
    </row>
    <row r="109">
      <c r="A109" s="21" t="inlineStr">
        <is>
          <t xml:space="preserve">  Gastos - fase 4</t>
        </is>
      </c>
      <c r="C109" s="14">
        <f>IF((C$88-$E$73)&gt;=1,-$E$80*(1+Supuestos!$B$5)^MAX(C$88-1,0)-$E$81*C108,0)</f>
        <v/>
      </c>
      <c r="D109" s="14">
        <f>IF((D$88-$E$73)&gt;=1,-$E$80*(1+Supuestos!$B$5)^MAX(D$88-1,0)-$E$81*D108,0)</f>
        <v/>
      </c>
      <c r="E109" s="14">
        <f>IF((E$88-$E$73)&gt;=1,-$E$80*(1+Supuestos!$B$5)^MAX(E$88-1,0)-$E$81*E108,0)</f>
        <v/>
      </c>
      <c r="F109" s="14">
        <f>IF((F$88-$E$73)&gt;=1,-$E$80*(1+Supuestos!$B$5)^MAX(F$88-1,0)-$E$81*F108,0)</f>
        <v/>
      </c>
      <c r="G109" s="14">
        <f>IF((G$88-$E$73)&gt;=1,-$E$80*(1+Supuestos!$B$5)^MAX(G$88-1,0)-$E$81*G108,0)</f>
        <v/>
      </c>
      <c r="H109" s="14">
        <f>IF((H$88-$E$73)&gt;=1,-$E$80*(1+Supuestos!$B$5)^MAX(H$88-1,0)-$E$81*H108,0)</f>
        <v/>
      </c>
      <c r="I109" s="14">
        <f>IF((I$88-$E$73)&gt;=1,-$E$80*(1+Supuestos!$B$5)^MAX(I$88-1,0)-$E$81*I108,0)</f>
        <v/>
      </c>
      <c r="J109" s="14">
        <f>IF((J$88-$E$73)&gt;=1,-$E$80*(1+Supuestos!$B$5)^MAX(J$88-1,0)-$E$81*J108,0)</f>
        <v/>
      </c>
      <c r="K109" s="14">
        <f>IF((K$88-$E$73)&gt;=1,-$E$80*(1+Supuestos!$B$5)^MAX(K$88-1,0)-$E$81*K108,0)</f>
        <v/>
      </c>
      <c r="L109" s="14">
        <f>IF((L$88-$E$73)&gt;=1,-$E$80*(1+Supuestos!$B$5)^MAX(L$88-1,0)-$E$81*L108,0)</f>
        <v/>
      </c>
      <c r="M109" s="14">
        <f>IF((M$88-$E$73)&gt;=1,-$E$80*(1+Supuestos!$B$5)^MAX(M$88-1,0)-$E$81*M108,0)</f>
        <v/>
      </c>
      <c r="N109" s="14">
        <f>IF((N$88-$E$73)&gt;=1,-$E$80*(1+Supuestos!$B$5)^MAX(N$88-1,0)-$E$81*N108,0)</f>
        <v/>
      </c>
      <c r="O109" s="14">
        <f>IF((O$88-$E$73)&gt;=1,-$E$80*(1+Supuestos!$B$5)^MAX(O$88-1,0)-$E$81*O108,0)</f>
        <v/>
      </c>
      <c r="P109" s="14">
        <f>IF((P$88-$E$73)&gt;=1,-$E$80*(1+Supuestos!$B$5)^MAX(P$88-1,0)-$E$81*P108,0)</f>
        <v/>
      </c>
      <c r="Q109" s="14">
        <f>IF((Q$88-$E$73)&gt;=1,-$E$80*(1+Supuestos!$B$5)^MAX(Q$88-1,0)-$E$81*Q108,0)</f>
        <v/>
      </c>
      <c r="R109" s="14">
        <f>IF((R$88-$E$73)&gt;=1,-$E$80*(1+Supuestos!$B$5)^MAX(R$88-1,0)-$E$81*R108,0)</f>
        <v/>
      </c>
      <c r="S109" s="14">
        <f>IF((S$88-$E$73)&gt;=1,-$E$80*(1+Supuestos!$B$5)^MAX(S$88-1,0)-$E$81*S108,0)</f>
        <v/>
      </c>
      <c r="T109" s="14">
        <f>IF((T$88-$E$73)&gt;=1,-$E$80*(1+Supuestos!$B$5)^MAX(T$88-1,0)-$E$81*T108,0)</f>
        <v/>
      </c>
      <c r="U109" s="14">
        <f>IF((U$88-$E$73)&gt;=1,-$E$80*(1+Supuestos!$B$5)^MAX(U$88-1,0)-$E$81*U108,0)</f>
        <v/>
      </c>
      <c r="V109" s="14">
        <f>IF((V$88-$E$73)&gt;=1,-$E$80*(1+Supuestos!$B$5)^MAX(V$88-1,0)-$E$81*V108,0)</f>
        <v/>
      </c>
      <c r="W109" s="14">
        <f>IF((W$88-$E$73)&gt;=1,-$E$80*(1+Supuestos!$B$5)^MAX(W$88-1,0)-$E$81*W108,0)</f>
        <v/>
      </c>
    </row>
    <row r="110">
      <c r="A110" s="21" t="inlineStr">
        <is>
          <t xml:space="preserve">  Impuestos - fase 4</t>
        </is>
      </c>
      <c r="C110" s="14">
        <f>-$E$82*C108</f>
        <v/>
      </c>
      <c r="D110" s="14">
        <f>-$E$82*D108</f>
        <v/>
      </c>
      <c r="E110" s="14">
        <f>-$E$82*E108</f>
        <v/>
      </c>
      <c r="F110" s="14">
        <f>-$E$82*F108</f>
        <v/>
      </c>
      <c r="G110" s="14">
        <f>-$E$82*G108</f>
        <v/>
      </c>
      <c r="H110" s="14">
        <f>-$E$82*H108</f>
        <v/>
      </c>
      <c r="I110" s="14">
        <f>-$E$82*I108</f>
        <v/>
      </c>
      <c r="J110" s="14">
        <f>-$E$82*J108</f>
        <v/>
      </c>
      <c r="K110" s="14">
        <f>-$E$82*K108</f>
        <v/>
      </c>
      <c r="L110" s="14">
        <f>-$E$82*L108</f>
        <v/>
      </c>
      <c r="M110" s="14">
        <f>-$E$82*M108</f>
        <v/>
      </c>
      <c r="N110" s="14">
        <f>-$E$82*N108</f>
        <v/>
      </c>
      <c r="O110" s="14">
        <f>-$E$82*O108</f>
        <v/>
      </c>
      <c r="P110" s="14">
        <f>-$E$82*P108</f>
        <v/>
      </c>
      <c r="Q110" s="14">
        <f>-$E$82*Q108</f>
        <v/>
      </c>
      <c r="R110" s="14">
        <f>-$E$82*R108</f>
        <v/>
      </c>
      <c r="S110" s="14">
        <f>-$E$82*S108</f>
        <v/>
      </c>
      <c r="T110" s="14">
        <f>-$E$82*T108</f>
        <v/>
      </c>
      <c r="U110" s="14">
        <f>-$E$82*U108</f>
        <v/>
      </c>
      <c r="V110" s="14">
        <f>-$E$82*V108</f>
        <v/>
      </c>
      <c r="W110" s="14">
        <f>-$E$82*W108</f>
        <v/>
      </c>
    </row>
    <row r="111">
      <c r="A111" s="21" t="inlineStr">
        <is>
          <t xml:space="preserve">  Reposiciones - fase 4</t>
        </is>
      </c>
      <c r="C111" s="14">
        <f>0</f>
        <v/>
      </c>
      <c r="D111" s="14">
        <f>0</f>
        <v/>
      </c>
      <c r="E111" s="14">
        <f>0</f>
        <v/>
      </c>
      <c r="F111" s="14">
        <f>0</f>
        <v/>
      </c>
      <c r="G111" s="14">
        <f>0</f>
        <v/>
      </c>
      <c r="H111" s="14">
        <f>0</f>
        <v/>
      </c>
      <c r="I111" s="14">
        <f>0</f>
        <v/>
      </c>
      <c r="J111" s="14">
        <f>0</f>
        <v/>
      </c>
      <c r="K111" s="14">
        <f>0</f>
        <v/>
      </c>
      <c r="L111" s="14">
        <f>0</f>
        <v/>
      </c>
      <c r="M111" s="14">
        <f>0</f>
        <v/>
      </c>
      <c r="N111" s="14">
        <f>0</f>
        <v/>
      </c>
      <c r="O111" s="14">
        <f>0</f>
        <v/>
      </c>
      <c r="P111" s="14">
        <f>0</f>
        <v/>
      </c>
      <c r="Q111" s="14">
        <f>0</f>
        <v/>
      </c>
      <c r="R111" s="14">
        <f>0</f>
        <v/>
      </c>
      <c r="S111" s="14">
        <f>0</f>
        <v/>
      </c>
      <c r="T111" s="14">
        <f>0</f>
        <v/>
      </c>
      <c r="U111" s="14">
        <f>0</f>
        <v/>
      </c>
      <c r="V111" s="14">
        <f>0</f>
        <v/>
      </c>
      <c r="W111" s="14">
        <f>0</f>
        <v/>
      </c>
    </row>
    <row r="112">
      <c r="A112" s="21" t="inlineStr">
        <is>
          <t xml:space="preserve">  Valor residual (año 20) - fase 4</t>
        </is>
      </c>
      <c r="C112" s="14">
        <f>IF(AND(C$88=20,$E$85&gt;1),$E$72*(1+Supuestos!$B$5)^MAX($E$73-1,0)*MAX(0,1-(20-$E$73)/$E$85),0)</f>
        <v/>
      </c>
      <c r="D112" s="14">
        <f>IF(AND(D$88=20,$E$85&gt;1),$E$72*(1+Supuestos!$B$5)^MAX($E$73-1,0)*MAX(0,1-(20-$E$73)/$E$85),0)</f>
        <v/>
      </c>
      <c r="E112" s="14">
        <f>IF(AND(E$88=20,$E$85&gt;1),$E$72*(1+Supuestos!$B$5)^MAX($E$73-1,0)*MAX(0,1-(20-$E$73)/$E$85),0)</f>
        <v/>
      </c>
      <c r="F112" s="14">
        <f>IF(AND(F$88=20,$E$85&gt;1),$E$72*(1+Supuestos!$B$5)^MAX($E$73-1,0)*MAX(0,1-(20-$E$73)/$E$85),0)</f>
        <v/>
      </c>
      <c r="G112" s="14">
        <f>IF(AND(G$88=20,$E$85&gt;1),$E$72*(1+Supuestos!$B$5)^MAX($E$73-1,0)*MAX(0,1-(20-$E$73)/$E$85),0)</f>
        <v/>
      </c>
      <c r="H112" s="14">
        <f>IF(AND(H$88=20,$E$85&gt;1),$E$72*(1+Supuestos!$B$5)^MAX($E$73-1,0)*MAX(0,1-(20-$E$73)/$E$85),0)</f>
        <v/>
      </c>
      <c r="I112" s="14">
        <f>IF(AND(I$88=20,$E$85&gt;1),$E$72*(1+Supuestos!$B$5)^MAX($E$73-1,0)*MAX(0,1-(20-$E$73)/$E$85),0)</f>
        <v/>
      </c>
      <c r="J112" s="14">
        <f>IF(AND(J$88=20,$E$85&gt;1),$E$72*(1+Supuestos!$B$5)^MAX($E$73-1,0)*MAX(0,1-(20-$E$73)/$E$85),0)</f>
        <v/>
      </c>
      <c r="K112" s="14">
        <f>IF(AND(K$88=20,$E$85&gt;1),$E$72*(1+Supuestos!$B$5)^MAX($E$73-1,0)*MAX(0,1-(20-$E$73)/$E$85),0)</f>
        <v/>
      </c>
      <c r="L112" s="14">
        <f>IF(AND(L$88=20,$E$85&gt;1),$E$72*(1+Supuestos!$B$5)^MAX($E$73-1,0)*MAX(0,1-(20-$E$73)/$E$85),0)</f>
        <v/>
      </c>
      <c r="M112" s="14">
        <f>IF(AND(M$88=20,$E$85&gt;1),$E$72*(1+Supuestos!$B$5)^MAX($E$73-1,0)*MAX(0,1-(20-$E$73)/$E$85),0)</f>
        <v/>
      </c>
      <c r="N112" s="14">
        <f>IF(AND(N$88=20,$E$85&gt;1),$E$72*(1+Supuestos!$B$5)^MAX($E$73-1,0)*MAX(0,1-(20-$E$73)/$E$85),0)</f>
        <v/>
      </c>
      <c r="O112" s="14">
        <f>IF(AND(O$88=20,$E$85&gt;1),$E$72*(1+Supuestos!$B$5)^MAX($E$73-1,0)*MAX(0,1-(20-$E$73)/$E$85),0)</f>
        <v/>
      </c>
      <c r="P112" s="14">
        <f>IF(AND(P$88=20,$E$85&gt;1),$E$72*(1+Supuestos!$B$5)^MAX($E$73-1,0)*MAX(0,1-(20-$E$73)/$E$85),0)</f>
        <v/>
      </c>
      <c r="Q112" s="14">
        <f>IF(AND(Q$88=20,$E$85&gt;1),$E$72*(1+Supuestos!$B$5)^MAX($E$73-1,0)*MAX(0,1-(20-$E$73)/$E$85),0)</f>
        <v/>
      </c>
      <c r="R112" s="14">
        <f>IF(AND(R$88=20,$E$85&gt;1),$E$72*(1+Supuestos!$B$5)^MAX($E$73-1,0)*MAX(0,1-(20-$E$73)/$E$85),0)</f>
        <v/>
      </c>
      <c r="S112" s="14">
        <f>IF(AND(S$88=20,$E$85&gt;1),$E$72*(1+Supuestos!$B$5)^MAX($E$73-1,0)*MAX(0,1-(20-$E$73)/$E$85),0)</f>
        <v/>
      </c>
      <c r="T112" s="14">
        <f>IF(AND(T$88=20,$E$85&gt;1),$E$72*(1+Supuestos!$B$5)^MAX($E$73-1,0)*MAX(0,1-(20-$E$73)/$E$85),0)</f>
        <v/>
      </c>
      <c r="U112" s="14">
        <f>IF(AND(U$88=20,$E$85&gt;1),$E$72*(1+Supuestos!$B$5)^MAX($E$73-1,0)*MAX(0,1-(20-$E$73)/$E$85),0)</f>
        <v/>
      </c>
      <c r="V112" s="14">
        <f>IF(AND(V$88=20,$E$85&gt;1),$E$72*(1+Supuestos!$B$5)^MAX($E$73-1,0)*MAX(0,1-(20-$E$73)/$E$85),0)</f>
        <v/>
      </c>
      <c r="W112" s="14">
        <f>IF(AND(W$88=20,$E$85&gt;1),$E$72*(1+Supuestos!$B$5)^MAX($E$73-1,0)*MAX(0,1-(20-$E$73)/$E$85),0)</f>
        <v/>
      </c>
    </row>
    <row r="113">
      <c r="A113" s="7" t="inlineStr">
        <is>
          <t>Inversión</t>
        </is>
      </c>
      <c r="C113" s="22">
        <f>C89+C95+C101+C107</f>
        <v/>
      </c>
      <c r="D113" s="22">
        <f>D89+D95+D101+D107</f>
        <v/>
      </c>
      <c r="E113" s="22">
        <f>E89+E95+E101+E107</f>
        <v/>
      </c>
      <c r="F113" s="22">
        <f>F89+F95+F101+F107</f>
        <v/>
      </c>
      <c r="G113" s="22">
        <f>G89+G95+G101+G107</f>
        <v/>
      </c>
      <c r="H113" s="22">
        <f>H89+H95+H101+H107</f>
        <v/>
      </c>
      <c r="I113" s="22">
        <f>I89+I95+I101+I107</f>
        <v/>
      </c>
      <c r="J113" s="22">
        <f>J89+J95+J101+J107</f>
        <v/>
      </c>
      <c r="K113" s="22">
        <f>K89+K95+K101+K107</f>
        <v/>
      </c>
      <c r="L113" s="22">
        <f>L89+L95+L101+L107</f>
        <v/>
      </c>
      <c r="M113" s="22">
        <f>M89+M95+M101+M107</f>
        <v/>
      </c>
      <c r="N113" s="22">
        <f>N89+N95+N101+N107</f>
        <v/>
      </c>
      <c r="O113" s="22">
        <f>O89+O95+O101+O107</f>
        <v/>
      </c>
      <c r="P113" s="22">
        <f>P89+P95+P101+P107</f>
        <v/>
      </c>
      <c r="Q113" s="22">
        <f>Q89+Q95+Q101+Q107</f>
        <v/>
      </c>
      <c r="R113" s="22">
        <f>R89+R95+R101+R107</f>
        <v/>
      </c>
      <c r="S113" s="22">
        <f>S89+S95+S101+S107</f>
        <v/>
      </c>
      <c r="T113" s="22">
        <f>T89+T95+T101+T107</f>
        <v/>
      </c>
      <c r="U113" s="22">
        <f>U89+U95+U101+U107</f>
        <v/>
      </c>
      <c r="V113" s="22">
        <f>V89+V95+V101+V107</f>
        <v/>
      </c>
      <c r="W113" s="22">
        <f>W89+W95+W101+W107</f>
        <v/>
      </c>
    </row>
    <row r="114">
      <c r="A114" s="7" t="inlineStr">
        <is>
          <t>Ingresos cobrados</t>
        </is>
      </c>
      <c r="C114" s="22">
        <f>C90+C96+C102+C108</f>
        <v/>
      </c>
      <c r="D114" s="22">
        <f>D90+D96+D102+D108</f>
        <v/>
      </c>
      <c r="E114" s="22">
        <f>E90+E96+E102+E108</f>
        <v/>
      </c>
      <c r="F114" s="22">
        <f>F90+F96+F102+F108</f>
        <v/>
      </c>
      <c r="G114" s="22">
        <f>G90+G96+G102+G108</f>
        <v/>
      </c>
      <c r="H114" s="22">
        <f>H90+H96+H102+H108</f>
        <v/>
      </c>
      <c r="I114" s="22">
        <f>I90+I96+I102+I108</f>
        <v/>
      </c>
      <c r="J114" s="22">
        <f>J90+J96+J102+J108</f>
        <v/>
      </c>
      <c r="K114" s="22">
        <f>K90+K96+K102+K108</f>
        <v/>
      </c>
      <c r="L114" s="22">
        <f>L90+L96+L102+L108</f>
        <v/>
      </c>
      <c r="M114" s="22">
        <f>M90+M96+M102+M108</f>
        <v/>
      </c>
      <c r="N114" s="22">
        <f>N90+N96+N102+N108</f>
        <v/>
      </c>
      <c r="O114" s="22">
        <f>O90+O96+O102+O108</f>
        <v/>
      </c>
      <c r="P114" s="22">
        <f>P90+P96+P102+P108</f>
        <v/>
      </c>
      <c r="Q114" s="22">
        <f>Q90+Q96+Q102+Q108</f>
        <v/>
      </c>
      <c r="R114" s="22">
        <f>R90+R96+R102+R108</f>
        <v/>
      </c>
      <c r="S114" s="22">
        <f>S90+S96+S102+S108</f>
        <v/>
      </c>
      <c r="T114" s="22">
        <f>T90+T96+T102+T108</f>
        <v/>
      </c>
      <c r="U114" s="22">
        <f>U90+U96+U102+U108</f>
        <v/>
      </c>
      <c r="V114" s="22">
        <f>V90+V96+V102+V108</f>
        <v/>
      </c>
      <c r="W114" s="22">
        <f>W90+W96+W102+W108</f>
        <v/>
      </c>
    </row>
    <row r="115">
      <c r="A115" s="7" t="inlineStr">
        <is>
          <t>Gastos</t>
        </is>
      </c>
      <c r="C115" s="22">
        <f>C91+C97+C103+C109</f>
        <v/>
      </c>
      <c r="D115" s="22">
        <f>D91+D97+D103+D109</f>
        <v/>
      </c>
      <c r="E115" s="22">
        <f>E91+E97+E103+E109</f>
        <v/>
      </c>
      <c r="F115" s="22">
        <f>F91+F97+F103+F109</f>
        <v/>
      </c>
      <c r="G115" s="22">
        <f>G91+G97+G103+G109</f>
        <v/>
      </c>
      <c r="H115" s="22">
        <f>H91+H97+H103+H109</f>
        <v/>
      </c>
      <c r="I115" s="22">
        <f>I91+I97+I103+I109</f>
        <v/>
      </c>
      <c r="J115" s="22">
        <f>J91+J97+J103+J109</f>
        <v/>
      </c>
      <c r="K115" s="22">
        <f>K91+K97+K103+K109</f>
        <v/>
      </c>
      <c r="L115" s="22">
        <f>L91+L97+L103+L109</f>
        <v/>
      </c>
      <c r="M115" s="22">
        <f>M91+M97+M103+M109</f>
        <v/>
      </c>
      <c r="N115" s="22">
        <f>N91+N97+N103+N109</f>
        <v/>
      </c>
      <c r="O115" s="22">
        <f>O91+O97+O103+O109</f>
        <v/>
      </c>
      <c r="P115" s="22">
        <f>P91+P97+P103+P109</f>
        <v/>
      </c>
      <c r="Q115" s="22">
        <f>Q91+Q97+Q103+Q109</f>
        <v/>
      </c>
      <c r="R115" s="22">
        <f>R91+R97+R103+R109</f>
        <v/>
      </c>
      <c r="S115" s="22">
        <f>S91+S97+S103+S109</f>
        <v/>
      </c>
      <c r="T115" s="22">
        <f>T91+T97+T103+T109</f>
        <v/>
      </c>
      <c r="U115" s="22">
        <f>U91+U97+U103+U109</f>
        <v/>
      </c>
      <c r="V115" s="22">
        <f>V91+V97+V103+V109</f>
        <v/>
      </c>
      <c r="W115" s="22">
        <f>W91+W97+W103+W109</f>
        <v/>
      </c>
    </row>
    <row r="116">
      <c r="A116" s="7" t="inlineStr">
        <is>
          <t>Impuestos</t>
        </is>
      </c>
      <c r="C116" s="22">
        <f>C92+C98+C104+C110</f>
        <v/>
      </c>
      <c r="D116" s="22">
        <f>D92+D98+D104+D110</f>
        <v/>
      </c>
      <c r="E116" s="22">
        <f>E92+E98+E104+E110</f>
        <v/>
      </c>
      <c r="F116" s="22">
        <f>F92+F98+F104+F110</f>
        <v/>
      </c>
      <c r="G116" s="22">
        <f>G92+G98+G104+G110</f>
        <v/>
      </c>
      <c r="H116" s="22">
        <f>H92+H98+H104+H110</f>
        <v/>
      </c>
      <c r="I116" s="22">
        <f>I92+I98+I104+I110</f>
        <v/>
      </c>
      <c r="J116" s="22">
        <f>J92+J98+J104+J110</f>
        <v/>
      </c>
      <c r="K116" s="22">
        <f>K92+K98+K104+K110</f>
        <v/>
      </c>
      <c r="L116" s="22">
        <f>L92+L98+L104+L110</f>
        <v/>
      </c>
      <c r="M116" s="22">
        <f>M92+M98+M104+M110</f>
        <v/>
      </c>
      <c r="N116" s="22">
        <f>N92+N98+N104+N110</f>
        <v/>
      </c>
      <c r="O116" s="22">
        <f>O92+O98+O104+O110</f>
        <v/>
      </c>
      <c r="P116" s="22">
        <f>P92+P98+P104+P110</f>
        <v/>
      </c>
      <c r="Q116" s="22">
        <f>Q92+Q98+Q104+Q110</f>
        <v/>
      </c>
      <c r="R116" s="22">
        <f>R92+R98+R104+R110</f>
        <v/>
      </c>
      <c r="S116" s="22">
        <f>S92+S98+S104+S110</f>
        <v/>
      </c>
      <c r="T116" s="22">
        <f>T92+T98+T104+T110</f>
        <v/>
      </c>
      <c r="U116" s="22">
        <f>U92+U98+U104+U110</f>
        <v/>
      </c>
      <c r="V116" s="22">
        <f>V92+V98+V104+V110</f>
        <v/>
      </c>
      <c r="W116" s="22">
        <f>W92+W98+W104+W110</f>
        <v/>
      </c>
    </row>
    <row r="117">
      <c r="A117" s="7" t="inlineStr">
        <is>
          <t>Reposiciones</t>
        </is>
      </c>
      <c r="C117" s="22">
        <f>C93+C99+C105+C111</f>
        <v/>
      </c>
      <c r="D117" s="22">
        <f>D93+D99+D105+D111</f>
        <v/>
      </c>
      <c r="E117" s="22">
        <f>E93+E99+E105+E111</f>
        <v/>
      </c>
      <c r="F117" s="22">
        <f>F93+F99+F105+F111</f>
        <v/>
      </c>
      <c r="G117" s="22">
        <f>G93+G99+G105+G111</f>
        <v/>
      </c>
      <c r="H117" s="22">
        <f>H93+H99+H105+H111</f>
        <v/>
      </c>
      <c r="I117" s="22">
        <f>I93+I99+I105+I111</f>
        <v/>
      </c>
      <c r="J117" s="22">
        <f>J93+J99+J105+J111</f>
        <v/>
      </c>
      <c r="K117" s="22">
        <f>K93+K99+K105+K111</f>
        <v/>
      </c>
      <c r="L117" s="22">
        <f>L93+L99+L105+L111</f>
        <v/>
      </c>
      <c r="M117" s="22">
        <f>M93+M99+M105+M111</f>
        <v/>
      </c>
      <c r="N117" s="22">
        <f>N93+N99+N105+N111</f>
        <v/>
      </c>
      <c r="O117" s="22">
        <f>O93+O99+O105+O111</f>
        <v/>
      </c>
      <c r="P117" s="22">
        <f>P93+P99+P105+P111</f>
        <v/>
      </c>
      <c r="Q117" s="22">
        <f>Q93+Q99+Q105+Q111</f>
        <v/>
      </c>
      <c r="R117" s="22">
        <f>R93+R99+R105+R111</f>
        <v/>
      </c>
      <c r="S117" s="22">
        <f>S93+S99+S105+S111</f>
        <v/>
      </c>
      <c r="T117" s="22">
        <f>T93+T99+T105+T111</f>
        <v/>
      </c>
      <c r="U117" s="22">
        <f>U93+U99+U105+U111</f>
        <v/>
      </c>
      <c r="V117" s="22">
        <f>V93+V99+V105+V111</f>
        <v/>
      </c>
      <c r="W117" s="22">
        <f>W93+W99+W105+W111</f>
        <v/>
      </c>
    </row>
    <row r="118">
      <c r="A118" s="7" t="inlineStr">
        <is>
          <t>Valor residual (año 20)</t>
        </is>
      </c>
      <c r="C118" s="22">
        <f>C94+C100+C106+C112</f>
        <v/>
      </c>
      <c r="D118" s="22">
        <f>D94+D100+D106+D112</f>
        <v/>
      </c>
      <c r="E118" s="22">
        <f>E94+E100+E106+E112</f>
        <v/>
      </c>
      <c r="F118" s="22">
        <f>F94+F100+F106+F112</f>
        <v/>
      </c>
      <c r="G118" s="22">
        <f>G94+G100+G106+G112</f>
        <v/>
      </c>
      <c r="H118" s="22">
        <f>H94+H100+H106+H112</f>
        <v/>
      </c>
      <c r="I118" s="22">
        <f>I94+I100+I106+I112</f>
        <v/>
      </c>
      <c r="J118" s="22">
        <f>J94+J100+J106+J112</f>
        <v/>
      </c>
      <c r="K118" s="22">
        <f>K94+K100+K106+K112</f>
        <v/>
      </c>
      <c r="L118" s="22">
        <f>L94+L100+L106+L112</f>
        <v/>
      </c>
      <c r="M118" s="22">
        <f>M94+M100+M106+M112</f>
        <v/>
      </c>
      <c r="N118" s="22">
        <f>N94+N100+N106+N112</f>
        <v/>
      </c>
      <c r="O118" s="22">
        <f>O94+O100+O106+O112</f>
        <v/>
      </c>
      <c r="P118" s="22">
        <f>P94+P100+P106+P112</f>
        <v/>
      </c>
      <c r="Q118" s="22">
        <f>Q94+Q100+Q106+Q112</f>
        <v/>
      </c>
      <c r="R118" s="22">
        <f>R94+R100+R106+R112</f>
        <v/>
      </c>
      <c r="S118" s="22">
        <f>S94+S100+S106+S112</f>
        <v/>
      </c>
      <c r="T118" s="22">
        <f>T94+T100+T106+T112</f>
        <v/>
      </c>
      <c r="U118" s="22">
        <f>U94+U100+U106+U112</f>
        <v/>
      </c>
      <c r="V118" s="22">
        <f>V94+V100+V106+V112</f>
        <v/>
      </c>
      <c r="W118" s="22">
        <f>W94+W100+W106+W112</f>
        <v/>
      </c>
    </row>
    <row r="119">
      <c r="A119" s="7" t="inlineStr">
        <is>
          <t>FLUJO NETO</t>
        </is>
      </c>
      <c r="C119" s="8">
        <f>C113+C114+C115+C116+C117+C118</f>
        <v/>
      </c>
      <c r="D119" s="8">
        <f>D113+D114+D115+D116+D117+D118</f>
        <v/>
      </c>
      <c r="E119" s="8">
        <f>E113+E114+E115+E116+E117+E118</f>
        <v/>
      </c>
      <c r="F119" s="8">
        <f>F113+F114+F115+F116+F117+F118</f>
        <v/>
      </c>
      <c r="G119" s="8">
        <f>G113+G114+G115+G116+G117+G118</f>
        <v/>
      </c>
      <c r="H119" s="8">
        <f>H113+H114+H115+H116+H117+H118</f>
        <v/>
      </c>
      <c r="I119" s="8">
        <f>I113+I114+I115+I116+I117+I118</f>
        <v/>
      </c>
      <c r="J119" s="8">
        <f>J113+J114+J115+J116+J117+J118</f>
        <v/>
      </c>
      <c r="K119" s="8">
        <f>K113+K114+K115+K116+K117+K118</f>
        <v/>
      </c>
      <c r="L119" s="8">
        <f>L113+L114+L115+L116+L117+L118</f>
        <v/>
      </c>
      <c r="M119" s="8">
        <f>M113+M114+M115+M116+M117+M118</f>
        <v/>
      </c>
      <c r="N119" s="8">
        <f>N113+N114+N115+N116+N117+N118</f>
        <v/>
      </c>
      <c r="O119" s="8">
        <f>O113+O114+O115+O116+O117+O118</f>
        <v/>
      </c>
      <c r="P119" s="8">
        <f>P113+P114+P115+P116+P117+P118</f>
        <v/>
      </c>
      <c r="Q119" s="8">
        <f>Q113+Q114+Q115+Q116+Q117+Q118</f>
        <v/>
      </c>
      <c r="R119" s="8">
        <f>R113+R114+R115+R116+R117+R118</f>
        <v/>
      </c>
      <c r="S119" s="8">
        <f>S113+S114+S115+S116+S117+S118</f>
        <v/>
      </c>
      <c r="T119" s="8">
        <f>T113+T114+T115+T116+T117+T118</f>
        <v/>
      </c>
      <c r="U119" s="8">
        <f>U113+U114+U115+U116+U117+U118</f>
        <v/>
      </c>
      <c r="V119" s="8">
        <f>V113+V114+V115+V116+V117+V118</f>
        <v/>
      </c>
      <c r="W119" s="8">
        <f>W113+W114+W115+W116+W117+W118</f>
        <v/>
      </c>
    </row>
    <row r="120">
      <c r="A120" s="7" t="inlineStr">
        <is>
          <t>Caja acumulada (sin valor residual)</t>
        </is>
      </c>
      <c r="C120" s="14">
        <f>C119-C118</f>
        <v/>
      </c>
      <c r="D120" s="14">
        <f>C120+D119-D118</f>
        <v/>
      </c>
      <c r="E120" s="14">
        <f>D120+E119-E118</f>
        <v/>
      </c>
      <c r="F120" s="14">
        <f>E120+F119-F118</f>
        <v/>
      </c>
      <c r="G120" s="14">
        <f>F120+G119-G118</f>
        <v/>
      </c>
      <c r="H120" s="14">
        <f>G120+H119-H118</f>
        <v/>
      </c>
      <c r="I120" s="14">
        <f>H120+I119-I118</f>
        <v/>
      </c>
      <c r="J120" s="14">
        <f>I120+J119-J118</f>
        <v/>
      </c>
      <c r="K120" s="14">
        <f>J120+K119-K118</f>
        <v/>
      </c>
      <c r="L120" s="14">
        <f>K120+L119-L118</f>
        <v/>
      </c>
      <c r="M120" s="14">
        <f>L120+M119-M118</f>
        <v/>
      </c>
      <c r="N120" s="14">
        <f>M120+N119-N118</f>
        <v/>
      </c>
      <c r="O120" s="14">
        <f>N120+O119-O118</f>
        <v/>
      </c>
      <c r="P120" s="14">
        <f>O120+P119-P118</f>
        <v/>
      </c>
      <c r="Q120" s="14">
        <f>P120+Q119-Q118</f>
        <v/>
      </c>
      <c r="R120" s="14">
        <f>Q120+R119-R118</f>
        <v/>
      </c>
      <c r="S120" s="14">
        <f>R120+S119-S118</f>
        <v/>
      </c>
      <c r="T120" s="14">
        <f>S120+T119-T118</f>
        <v/>
      </c>
      <c r="U120" s="14">
        <f>T120+U119-U118</f>
        <v/>
      </c>
      <c r="V120" s="14">
        <f>U120+V119-V118</f>
        <v/>
      </c>
      <c r="W120" s="14">
        <f>V120+W119-W118</f>
        <v/>
      </c>
    </row>
    <row r="121">
      <c r="A121" s="7" t="inlineStr">
        <is>
          <t>Flujo del propietario contando el terreno (lo aporta hoy y lo recupera valorizado)</t>
        </is>
      </c>
      <c r="C121" s="14">
        <f>C119-Supuestos!$B$21</f>
        <v/>
      </c>
      <c r="D121" s="14">
        <f>D119</f>
        <v/>
      </c>
      <c r="E121" s="14">
        <f>E119</f>
        <v/>
      </c>
      <c r="F121" s="14">
        <f>F119</f>
        <v/>
      </c>
      <c r="G121" s="14">
        <f>G119</f>
        <v/>
      </c>
      <c r="H121" s="14">
        <f>H119</f>
        <v/>
      </c>
      <c r="I121" s="14">
        <f>I119</f>
        <v/>
      </c>
      <c r="J121" s="14">
        <f>J119</f>
        <v/>
      </c>
      <c r="K121" s="14">
        <f>K119</f>
        <v/>
      </c>
      <c r="L121" s="14">
        <f>L119</f>
        <v/>
      </c>
      <c r="M121" s="14">
        <f>M119</f>
        <v/>
      </c>
      <c r="N121" s="14">
        <f>N119</f>
        <v/>
      </c>
      <c r="O121" s="14">
        <f>O119</f>
        <v/>
      </c>
      <c r="P121" s="14">
        <f>P119</f>
        <v/>
      </c>
      <c r="Q121" s="14">
        <f>Q119</f>
        <v/>
      </c>
      <c r="R121" s="14">
        <f>R119</f>
        <v/>
      </c>
      <c r="S121" s="14">
        <f>S119</f>
        <v/>
      </c>
      <c r="T121" s="14">
        <f>T119</f>
        <v/>
      </c>
      <c r="U121" s="14">
        <f>U119</f>
        <v/>
      </c>
      <c r="V121" s="14">
        <f>V119</f>
        <v/>
      </c>
      <c r="W121" s="14">
        <f>W119+Supuestos!$B$21*(1+Supuestos!$B$23)^20</f>
        <v/>
      </c>
    </row>
    <row r="123">
      <c r="A123" s="7" t="inlineStr">
        <is>
          <t>Inversión total</t>
        </is>
      </c>
      <c r="C123" s="8">
        <f>-SUM(C113:W113)</f>
        <v/>
      </c>
    </row>
    <row r="124">
      <c r="A124" s="7" t="inlineStr">
        <is>
          <t>VAN al 10%</t>
        </is>
      </c>
      <c r="C124" s="8">
        <f>C119+NPV(Supuestos!$B$4,D119:W119)</f>
        <v/>
      </c>
    </row>
    <row r="125">
      <c r="A125" s="7" t="inlineStr">
        <is>
          <t>TIR</t>
        </is>
      </c>
      <c r="C125" s="23">
        <f>IFERROR(IRR(C119:W119),IFERROR(IRR(C119:W119,-0.05),"no aplica"))</f>
        <v/>
      </c>
    </row>
    <row r="126">
      <c r="A126" s="7" t="inlineStr">
        <is>
          <t>Año en que se recupera la inversión (acumulado ≥ 0)</t>
        </is>
      </c>
      <c r="C126" s="24">
        <f>IF(-SUM(C113:W113)=0,"sin inversión",IFERROR(INDEX(C88:W88,MATCH(TRUE,INDEX(C120:W120&gt;=0,0),0)),"no en 20 años"))</f>
        <v/>
      </c>
    </row>
    <row r="127">
      <c r="A127" s="7" t="inlineStr">
        <is>
          <t>Caja neta del año 5 sin inversiones (S/ nominales)</t>
        </is>
      </c>
      <c r="C127" s="8">
        <f>H119-H113</f>
        <v/>
      </c>
    </row>
    <row r="128">
      <c r="A128" s="7" t="inlineStr">
        <is>
          <t>TIR contando el terreno</t>
        </is>
      </c>
      <c r="C128" s="23">
        <f>IFERROR(IRR(C121:W121),"no aplica")</f>
        <v/>
      </c>
    </row>
  </sheetData>
  <mergeCells count="1">
    <mergeCell ref="A2:L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D. C + 2 pisos de minidepartamentos (año 3)</t>
        </is>
      </c>
    </row>
    <row r="2" ht="30" customHeight="1">
      <c r="A2" s="17" t="inlineStr">
        <is>
          <t>Fase 1 igual a C. En el año 3, 2 pisos con 8 minidepartamentos de 1 dormitorio para personal de salud y del sector público.</t>
        </is>
      </c>
    </row>
    <row r="4">
      <c r="A4" s="18" t="inlineStr">
        <is>
          <t>Fase 1: Local de esquina (100 m²)</t>
        </is>
      </c>
    </row>
    <row r="5">
      <c r="A5" s="20" t="inlineStr">
        <is>
          <t>Partida</t>
        </is>
      </c>
      <c r="B5" s="20" t="inlineStr">
        <is>
          <t>Und.</t>
        </is>
      </c>
      <c r="C5" s="20" t="inlineStr">
        <is>
          <t>Cantidad</t>
        </is>
      </c>
      <c r="D5" s="20" t="inlineStr">
        <is>
          <t>P. unitario</t>
        </is>
      </c>
      <c r="E5" s="20" t="inlineStr">
        <is>
          <t>Parcial</t>
        </is>
      </c>
    </row>
    <row r="6">
      <c r="A6" s="17" t="inlineStr">
        <is>
          <t>Local de esquina de 100 m² en pórticos de C.A. diseñados para 3 pisos, puertas enrollables y SS.HH.</t>
        </is>
      </c>
      <c r="B6" t="inlineStr">
        <is>
          <t>m²</t>
        </is>
      </c>
      <c r="C6" s="5" t="n">
        <v>100</v>
      </c>
      <c r="D6" s="6" t="n">
        <v>1500</v>
      </c>
      <c r="E6" s="14">
        <f>C6*D6</f>
        <v/>
      </c>
    </row>
    <row r="7">
      <c r="A7" s="17" t="inlineStr">
        <is>
          <t>Estudio de suelos, proyecto y licencia</t>
        </is>
      </c>
      <c r="B7" t="inlineStr">
        <is>
          <t>glb</t>
        </is>
      </c>
      <c r="C7" s="5" t="n">
        <v>1</v>
      </c>
      <c r="D7" s="6" t="n">
        <v>20000</v>
      </c>
      <c r="E7" s="14">
        <f>C7*D7</f>
        <v/>
      </c>
    </row>
    <row r="8">
      <c r="D8" t="inlineStr">
        <is>
          <t>Inversión (con imprevistos y factor de escenario)</t>
        </is>
      </c>
      <c r="E8" s="8">
        <f>SUM(E6:E7)*(1+Supuestos!$B$6)*Supuestos!$B$22</f>
        <v/>
      </c>
    </row>
    <row r="9">
      <c r="D9" t="inlineStr">
        <is>
          <t>Año de inversión (opera desde el año siguiente)</t>
        </is>
      </c>
      <c r="E9" s="19" t="n">
        <v>0</v>
      </c>
    </row>
    <row r="10">
      <c r="D10" t="inlineStr">
        <is>
          <t>Ingreso bruto potencial S/ por mes - pesimista</t>
        </is>
      </c>
      <c r="E10" s="6" t="n">
        <v>1000</v>
      </c>
    </row>
    <row r="11">
      <c r="D11" t="inlineStr">
        <is>
          <t>Ingreso bruto potencial S/ por mes - base</t>
        </is>
      </c>
      <c r="E11" s="6" t="n">
        <v>1300</v>
      </c>
    </row>
    <row r="12">
      <c r="D12" t="inlineStr">
        <is>
          <t>Ingreso bruto potencial S/ por mes - optimista</t>
        </is>
      </c>
      <c r="E12" s="6" t="n">
        <v>2000</v>
      </c>
    </row>
    <row r="13">
      <c r="D13" t="inlineStr">
        <is>
          <t>Ocupación cobrada - pesimista</t>
        </is>
      </c>
      <c r="E13" s="3" t="n">
        <v>0.7</v>
      </c>
    </row>
    <row r="14">
      <c r="D14" t="inlineStr">
        <is>
          <t>Ocupación cobrada - base</t>
        </is>
      </c>
      <c r="E14" s="3" t="n">
        <v>0.8</v>
      </c>
    </row>
    <row r="15">
      <c r="D15" t="inlineStr">
        <is>
          <t>Ocupación cobrada - optimista</t>
        </is>
      </c>
      <c r="E15" s="3" t="n">
        <v>0.9</v>
      </c>
    </row>
    <row r="16">
      <c r="D16" t="inlineStr">
        <is>
          <t>Gastos fijos S/ por año (personal, energía, mantenimiento, seguro, predial)</t>
        </is>
      </c>
      <c r="E16" s="6" t="n">
        <v>2500</v>
      </c>
    </row>
    <row r="17">
      <c r="D17" t="inlineStr">
        <is>
          <t>Gastos variables (% del ingreso cobrado)</t>
        </is>
      </c>
      <c r="E17" s="3" t="n">
        <v>0</v>
      </c>
    </row>
    <row r="18">
      <c r="D18" t="inlineStr">
        <is>
          <t>Impuestos (% del ingreso cobrado)</t>
        </is>
      </c>
      <c r="E18" s="3" t="n">
        <v>0.05</v>
      </c>
    </row>
    <row r="19">
      <c r="D19" t="inlineStr">
        <is>
          <t>Ingreso relativo 1.er año de operación</t>
        </is>
      </c>
      <c r="E19" s="3" t="n">
        <v>0.5</v>
      </c>
    </row>
    <row r="20">
      <c r="D20" t="inlineStr">
        <is>
          <t>Ingreso relativo 2.º año de operación</t>
        </is>
      </c>
      <c r="E20" s="3" t="n">
        <v>0.8</v>
      </c>
    </row>
    <row r="21">
      <c r="D21" t="inlineStr">
        <is>
          <t>Vida útil para valor residual (años)</t>
        </is>
      </c>
      <c r="E21" s="19" t="n">
        <v>50</v>
      </c>
    </row>
    <row r="23">
      <c r="A23" s="18" t="inlineStr">
        <is>
          <t>Fase 2: 3 locales al jirón + núcleo de escalera</t>
        </is>
      </c>
    </row>
    <row r="24">
      <c r="A24" s="20" t="inlineStr">
        <is>
          <t>Partida</t>
        </is>
      </c>
      <c r="B24" s="20" t="inlineStr">
        <is>
          <t>Und.</t>
        </is>
      </c>
      <c r="C24" s="20" t="inlineStr">
        <is>
          <t>Cantidad</t>
        </is>
      </c>
      <c r="D24" s="20" t="inlineStr">
        <is>
          <t>P. unitario</t>
        </is>
      </c>
      <c r="E24" s="20" t="inlineStr">
        <is>
          <t>Parcial</t>
        </is>
      </c>
    </row>
    <row r="25">
      <c r="A25" s="17" t="inlineStr">
        <is>
          <t>3 locales de 39-48 m² (134.7 m²) y núcleo de escalera, SS.HH. y depósito de 26 m² junto a B, en pórticos de C.A. diseñados para 3 pisos</t>
        </is>
      </c>
      <c r="B25" t="inlineStr">
        <is>
          <t>m²</t>
        </is>
      </c>
      <c r="C25" s="5" t="n">
        <v>160.6</v>
      </c>
      <c r="D25" s="6" t="n">
        <v>1500</v>
      </c>
      <c r="E25" s="14">
        <f>C25*D25</f>
        <v/>
      </c>
    </row>
    <row r="26">
      <c r="A26" s="17" t="inlineStr">
        <is>
          <t>Ampliación del proyecto y licencia</t>
        </is>
      </c>
      <c r="B26" t="inlineStr">
        <is>
          <t>glb</t>
        </is>
      </c>
      <c r="C26" s="5" t="n">
        <v>1</v>
      </c>
      <c r="D26" s="6" t="n">
        <v>12000</v>
      </c>
      <c r="E26" s="14">
        <f>C26*D26</f>
        <v/>
      </c>
    </row>
    <row r="27">
      <c r="D27" t="inlineStr">
        <is>
          <t>Inversión (con imprevistos y factor de escenario)</t>
        </is>
      </c>
      <c r="E27" s="8">
        <f>SUM(E25:E26)*(1+Supuestos!$B$6)*Supuestos!$B$22</f>
        <v/>
      </c>
    </row>
    <row r="28">
      <c r="D28" t="inlineStr">
        <is>
          <t>Año de inversión (opera desde el año siguiente)</t>
        </is>
      </c>
      <c r="E28" s="19" t="n">
        <v>0</v>
      </c>
    </row>
    <row r="29">
      <c r="D29" t="inlineStr">
        <is>
          <t>Ingreso bruto potencial S/ por mes - pesimista</t>
        </is>
      </c>
      <c r="E29" s="6" t="n">
        <v>1616.4</v>
      </c>
    </row>
    <row r="30">
      <c r="D30" t="inlineStr">
        <is>
          <t>Ingreso bruto potencial S/ por mes - base</t>
        </is>
      </c>
      <c r="E30" s="6" t="n">
        <v>2020.5</v>
      </c>
    </row>
    <row r="31">
      <c r="D31" t="inlineStr">
        <is>
          <t>Ingreso bruto potencial S/ por mes - optimista</t>
        </is>
      </c>
      <c r="E31" s="6" t="n">
        <v>2424.6</v>
      </c>
    </row>
    <row r="32">
      <c r="D32" t="inlineStr">
        <is>
          <t>Ocupación cobrada - pesimista</t>
        </is>
      </c>
      <c r="E32" s="3" t="n">
        <v>0.7</v>
      </c>
    </row>
    <row r="33">
      <c r="D33" t="inlineStr">
        <is>
          <t>Ocupación cobrada - base</t>
        </is>
      </c>
      <c r="E33" s="3" t="n">
        <v>0.8</v>
      </c>
    </row>
    <row r="34">
      <c r="D34" t="inlineStr">
        <is>
          <t>Ocupación cobrada - optimista</t>
        </is>
      </c>
      <c r="E34" s="3" t="n">
        <v>0.9</v>
      </c>
    </row>
    <row r="35">
      <c r="D35" t="inlineStr">
        <is>
          <t>Gastos fijos S/ por año (personal, energía, mantenimiento, seguro, predial)</t>
        </is>
      </c>
      <c r="E35" s="6" t="n">
        <v>3600</v>
      </c>
    </row>
    <row r="36">
      <c r="D36" t="inlineStr">
        <is>
          <t>Gastos variables (% del ingreso cobrado)</t>
        </is>
      </c>
      <c r="E36" s="3" t="n">
        <v>0</v>
      </c>
    </row>
    <row r="37">
      <c r="D37" t="inlineStr">
        <is>
          <t>Impuestos (% del ingreso cobrado)</t>
        </is>
      </c>
      <c r="E37" s="3" t="n">
        <v>0.05</v>
      </c>
    </row>
    <row r="38">
      <c r="D38" t="inlineStr">
        <is>
          <t>Ingreso relativo 1.er año de operación</t>
        </is>
      </c>
      <c r="E38" s="3" t="n">
        <v>0.5</v>
      </c>
    </row>
    <row r="39">
      <c r="D39" t="inlineStr">
        <is>
          <t>Ingreso relativo 2.º año de operación</t>
        </is>
      </c>
      <c r="E39" s="3" t="n">
        <v>0.8</v>
      </c>
    </row>
    <row r="40">
      <c r="D40" t="inlineStr">
        <is>
          <t>Vida útil para valor residual (años)</t>
        </is>
      </c>
      <c r="E40" s="19" t="n">
        <v>50</v>
      </c>
    </row>
    <row r="42">
      <c r="A42" s="18" t="inlineStr">
        <is>
          <t>Fase 3: Cochera de abonados (fondo, descubierta)</t>
        </is>
      </c>
    </row>
    <row r="43">
      <c r="A43" s="20" t="inlineStr">
        <is>
          <t>Partida</t>
        </is>
      </c>
      <c r="B43" s="20" t="inlineStr">
        <is>
          <t>Und.</t>
        </is>
      </c>
      <c r="C43" s="20" t="inlineStr">
        <is>
          <t>Cantidad</t>
        </is>
      </c>
      <c r="D43" s="20" t="inlineStr">
        <is>
          <t>P. unitario</t>
        </is>
      </c>
      <c r="E43" s="20" t="inlineStr">
        <is>
          <t>Parcial</t>
        </is>
      </c>
    </row>
    <row r="44">
      <c r="A44" s="17" t="inlineStr">
        <is>
          <t>Afirmado compactado e=0.20 m con bombeo</t>
        </is>
      </c>
      <c r="B44" t="inlineStr">
        <is>
          <t>m²</t>
        </is>
      </c>
      <c r="C44" s="5" t="n">
        <v>540</v>
      </c>
      <c r="D44" s="6" t="n">
        <v>40</v>
      </c>
      <c r="E44" s="14">
        <f>C44*D44</f>
        <v/>
      </c>
    </row>
    <row r="45">
      <c r="A45" s="17" t="inlineStr">
        <is>
          <t>Drenaje del patio</t>
        </is>
      </c>
      <c r="B45" t="inlineStr">
        <is>
          <t>ml</t>
        </is>
      </c>
      <c r="C45" s="5" t="n">
        <v>20</v>
      </c>
      <c r="D45" s="6" t="n">
        <v>220</v>
      </c>
      <c r="E45" s="14">
        <f>C45*D45</f>
        <v/>
      </c>
    </row>
    <row r="46">
      <c r="A46" s="17" t="inlineStr">
        <is>
          <t>Portón telescópico automatizado de 6.5 m con 40 controles + puerta peatonal</t>
        </is>
      </c>
      <c r="B46" t="inlineStr">
        <is>
          <t>glb</t>
        </is>
      </c>
      <c r="C46" s="5" t="n">
        <v>1</v>
      </c>
      <c r="D46" s="6" t="n">
        <v>15500</v>
      </c>
      <c r="E46" s="14">
        <f>C46*D46</f>
        <v/>
      </c>
    </row>
    <row r="47">
      <c r="A47" s="17" t="inlineStr">
        <is>
          <t>Cerco de albañilería en el fondo C-D</t>
        </is>
      </c>
      <c r="B47" t="inlineStr">
        <is>
          <t>ml</t>
        </is>
      </c>
      <c r="C47" s="5" t="n">
        <v>30</v>
      </c>
      <c r="D47" s="6" t="n">
        <v>330</v>
      </c>
      <c r="E47" s="14">
        <f>C47*D47</f>
        <v/>
      </c>
    </row>
    <row r="48">
      <c r="A48" s="17" t="inlineStr">
        <is>
          <t>Iluminación LED y CCTV de 4 cámaras</t>
        </is>
      </c>
      <c r="B48" t="inlineStr">
        <is>
          <t>glb</t>
        </is>
      </c>
      <c r="C48" s="5" t="n">
        <v>1</v>
      </c>
      <c r="D48" s="6" t="n">
        <v>7500</v>
      </c>
      <c r="E48" s="14">
        <f>C48*D48</f>
        <v/>
      </c>
    </row>
    <row r="49">
      <c r="A49" s="17" t="inlineStr">
        <is>
          <t>Señalización, numeración y topellantas</t>
        </is>
      </c>
      <c r="B49" t="inlineStr">
        <is>
          <t>glb</t>
        </is>
      </c>
      <c r="C49" s="5" t="n">
        <v>1</v>
      </c>
      <c r="D49" s="6" t="n">
        <v>2400</v>
      </c>
      <c r="E49" s="14">
        <f>C49*D49</f>
        <v/>
      </c>
    </row>
    <row r="50">
      <c r="D50" t="inlineStr">
        <is>
          <t>Inversión (con imprevistos y factor de escenario)</t>
        </is>
      </c>
      <c r="E50" s="8">
        <f>SUM(E44:E49)*(1+Supuestos!$B$6)*Supuestos!$B$22</f>
        <v/>
      </c>
    </row>
    <row r="51">
      <c r="D51" t="inlineStr">
        <is>
          <t>Año de inversión (opera desde el año siguiente)</t>
        </is>
      </c>
      <c r="E51" s="19" t="n">
        <v>0</v>
      </c>
    </row>
    <row r="52">
      <c r="D52" t="inlineStr">
        <is>
          <t>Ingreso bruto potencial S/ por mes - pesimista</t>
        </is>
      </c>
      <c r="E52" s="6" t="n">
        <v>480</v>
      </c>
    </row>
    <row r="53">
      <c r="D53" t="inlineStr">
        <is>
          <t>Ingreso bruto potencial S/ por mes - base</t>
        </is>
      </c>
      <c r="E53" s="6" t="n">
        <v>900</v>
      </c>
    </row>
    <row r="54">
      <c r="D54" t="inlineStr">
        <is>
          <t>Ingreso bruto potencial S/ por mes - optimista</t>
        </is>
      </c>
      <c r="E54" s="6" t="n">
        <v>1080</v>
      </c>
    </row>
    <row r="55">
      <c r="D55" t="inlineStr">
        <is>
          <t>Ocupación cobrada - pesimista</t>
        </is>
      </c>
      <c r="E55" s="3" t="n">
        <v>0.6</v>
      </c>
    </row>
    <row r="56">
      <c r="D56" t="inlineStr">
        <is>
          <t>Ocupación cobrada - base</t>
        </is>
      </c>
      <c r="E56" s="3" t="n">
        <v>0.7</v>
      </c>
    </row>
    <row r="57">
      <c r="D57" t="inlineStr">
        <is>
          <t>Ocupación cobrada - optimista</t>
        </is>
      </c>
      <c r="E57" s="3" t="n">
        <v>0.8</v>
      </c>
    </row>
    <row r="58">
      <c r="D58" t="inlineStr">
        <is>
          <t>Gastos fijos S/ por año (personal, energía, mantenimiento, seguro, predial)</t>
        </is>
      </c>
      <c r="E58" s="6" t="n">
        <v>3200</v>
      </c>
    </row>
    <row r="59">
      <c r="D59" t="inlineStr">
        <is>
          <t>Gastos variables (% del ingreso cobrado)</t>
        </is>
      </c>
      <c r="E59" s="3" t="n">
        <v>0</v>
      </c>
    </row>
    <row r="60">
      <c r="D60" t="inlineStr">
        <is>
          <t>Impuestos (% del ingreso cobrado)</t>
        </is>
      </c>
      <c r="E60" s="3" t="n">
        <v>0</v>
      </c>
    </row>
    <row r="61">
      <c r="D61" t="inlineStr">
        <is>
          <t>Ingreso relativo 1.er año de operación</t>
        </is>
      </c>
      <c r="E61" s="3" t="n">
        <v>0.6</v>
      </c>
    </row>
    <row r="62">
      <c r="D62" t="inlineStr">
        <is>
          <t>Ingreso relativo 2.º año de operación</t>
        </is>
      </c>
      <c r="E62" s="3" t="n">
        <v>0.85</v>
      </c>
    </row>
    <row r="63">
      <c r="D63" t="inlineStr">
        <is>
          <t>Vida útil para valor residual (años)</t>
        </is>
      </c>
      <c r="E63" s="19" t="n">
        <v>10</v>
      </c>
    </row>
    <row r="64">
      <c r="D64" t="inlineStr">
        <is>
          <t>Reposición 1: años después de invertir</t>
        </is>
      </c>
      <c r="E64" s="19" t="n">
        <v>10</v>
      </c>
    </row>
    <row r="65">
      <c r="D65" t="inlineStr">
        <is>
          <t>Reposición 1: monto a precios de hoy</t>
        </is>
      </c>
      <c r="E65" s="6" t="n">
        <v>33330</v>
      </c>
    </row>
    <row r="67">
      <c r="A67" s="18" t="inlineStr">
        <is>
          <t>Fase 4: 2 pisos de minidepartamentos</t>
        </is>
      </c>
    </row>
    <row r="68">
      <c r="A68" s="20" t="inlineStr">
        <is>
          <t>Partida</t>
        </is>
      </c>
      <c r="B68" s="20" t="inlineStr">
        <is>
          <t>Und.</t>
        </is>
      </c>
      <c r="C68" s="20" t="inlineStr">
        <is>
          <t>Cantidad</t>
        </is>
      </c>
      <c r="D68" s="20" t="inlineStr">
        <is>
          <t>P. unitario</t>
        </is>
      </c>
      <c r="E68" s="20" t="inlineStr">
        <is>
          <t>Parcial</t>
        </is>
      </c>
    </row>
    <row r="69">
      <c r="A69" s="17" t="inlineStr">
        <is>
          <t>2 pisos sobre los locales: 8 minidepartamentos de 1 dormitorio (≈ 45 m² útiles), escalera y pasillo</t>
        </is>
      </c>
      <c r="B69" t="inlineStr">
        <is>
          <t>m²</t>
        </is>
      </c>
      <c r="C69" s="5" t="n">
        <v>521</v>
      </c>
      <c r="D69" s="6" t="n">
        <v>1650</v>
      </c>
      <c r="E69" s="14">
        <f>C69*D69</f>
        <v/>
      </c>
    </row>
    <row r="70">
      <c r="A70" s="17" t="inlineStr">
        <is>
          <t>Expediente y licencia de ampliación</t>
        </is>
      </c>
      <c r="B70" t="inlineStr">
        <is>
          <t>glb</t>
        </is>
      </c>
      <c r="C70" s="5" t="n">
        <v>1</v>
      </c>
      <c r="D70" s="6" t="n">
        <v>15000</v>
      </c>
      <c r="E70" s="14">
        <f>C70*D70</f>
        <v/>
      </c>
    </row>
    <row r="71">
      <c r="D71" t="inlineStr">
        <is>
          <t>Inversión (con imprevistos y factor de escenario)</t>
        </is>
      </c>
      <c r="E71" s="8">
        <f>SUM(E69:E70)*(1+Supuestos!$B$6)*Supuestos!$B$22</f>
        <v/>
      </c>
    </row>
    <row r="72">
      <c r="D72" t="inlineStr">
        <is>
          <t>Año de inversión (opera desde el año siguiente)</t>
        </is>
      </c>
      <c r="E72" s="19" t="n">
        <v>3</v>
      </c>
    </row>
    <row r="73">
      <c r="D73" t="inlineStr">
        <is>
          <t>Ingreso bruto potencial S/ por mes - pesimista</t>
        </is>
      </c>
      <c r="E73" s="6" t="n">
        <v>3200</v>
      </c>
    </row>
    <row r="74">
      <c r="D74" t="inlineStr">
        <is>
          <t>Ingreso bruto potencial S/ por mes - base</t>
        </is>
      </c>
      <c r="E74" s="6" t="n">
        <v>4000</v>
      </c>
    </row>
    <row r="75">
      <c r="D75" t="inlineStr">
        <is>
          <t>Ingreso bruto potencial S/ por mes - optimista</t>
        </is>
      </c>
      <c r="E75" s="6" t="n">
        <v>4800</v>
      </c>
    </row>
    <row r="76">
      <c r="D76" t="inlineStr">
        <is>
          <t>Ocupación cobrada - pesimista</t>
        </is>
      </c>
      <c r="E76" s="3" t="n">
        <v>0.7</v>
      </c>
    </row>
    <row r="77">
      <c r="D77" t="inlineStr">
        <is>
          <t>Ocupación cobrada - base</t>
        </is>
      </c>
      <c r="E77" s="3" t="n">
        <v>0.85</v>
      </c>
    </row>
    <row r="78">
      <c r="D78" t="inlineStr">
        <is>
          <t>Ocupación cobrada - optimista</t>
        </is>
      </c>
      <c r="E78" s="3" t="n">
        <v>0.92</v>
      </c>
    </row>
    <row r="79">
      <c r="D79" t="inlineStr">
        <is>
          <t>Gastos fijos S/ por año (personal, energía, mantenimiento, seguro, predial)</t>
        </is>
      </c>
      <c r="E79" s="6" t="n">
        <v>15600</v>
      </c>
    </row>
    <row r="80">
      <c r="D80" t="inlineStr">
        <is>
          <t>Gastos variables (% del ingreso cobrado)</t>
        </is>
      </c>
      <c r="E80" s="3" t="n">
        <v>0</v>
      </c>
    </row>
    <row r="81">
      <c r="D81" t="inlineStr">
        <is>
          <t>Impuestos (% del ingreso cobrado)</t>
        </is>
      </c>
      <c r="E81" s="3" t="n">
        <v>0.05</v>
      </c>
    </row>
    <row r="82">
      <c r="D82" t="inlineStr">
        <is>
          <t>Ingreso relativo 1.er año de operación</t>
        </is>
      </c>
      <c r="E82" s="3" t="n">
        <v>0.6</v>
      </c>
    </row>
    <row r="83">
      <c r="D83" t="inlineStr">
        <is>
          <t>Ingreso relativo 2.º año de operación</t>
        </is>
      </c>
      <c r="E83" s="3" t="n">
        <v>0.9</v>
      </c>
    </row>
    <row r="84">
      <c r="D84" t="inlineStr">
        <is>
          <t>Vida útil para valor residual (años)</t>
        </is>
      </c>
      <c r="E84" s="19" t="n">
        <v>50</v>
      </c>
    </row>
    <row r="86">
      <c r="A86" s="7" t="inlineStr">
        <is>
          <t>FLUJO DE CAJA (S/ nominales)</t>
        </is>
      </c>
    </row>
    <row r="87">
      <c r="A87" s="20" t="inlineStr">
        <is>
          <t>Concepto / año</t>
        </is>
      </c>
      <c r="C87" s="20" t="n">
        <v>0</v>
      </c>
      <c r="D87" s="20" t="n">
        <v>1</v>
      </c>
      <c r="E87" s="20" t="n">
        <v>2</v>
      </c>
      <c r="F87" s="20" t="n">
        <v>3</v>
      </c>
      <c r="G87" s="20" t="n">
        <v>4</v>
      </c>
      <c r="H87" s="20" t="n">
        <v>5</v>
      </c>
      <c r="I87" s="20" t="n">
        <v>6</v>
      </c>
      <c r="J87" s="20" t="n">
        <v>7</v>
      </c>
      <c r="K87" s="20" t="n">
        <v>8</v>
      </c>
      <c r="L87" s="20" t="n">
        <v>9</v>
      </c>
      <c r="M87" s="20" t="n">
        <v>10</v>
      </c>
      <c r="N87" s="20" t="n">
        <v>11</v>
      </c>
      <c r="O87" s="20" t="n">
        <v>12</v>
      </c>
      <c r="P87" s="20" t="n">
        <v>13</v>
      </c>
      <c r="Q87" s="20" t="n">
        <v>14</v>
      </c>
      <c r="R87" s="20" t="n">
        <v>15</v>
      </c>
      <c r="S87" s="20" t="n">
        <v>16</v>
      </c>
      <c r="T87" s="20" t="n">
        <v>17</v>
      </c>
      <c r="U87" s="20" t="n">
        <v>18</v>
      </c>
      <c r="V87" s="20" t="n">
        <v>19</v>
      </c>
      <c r="W87" s="20" t="n">
        <v>20</v>
      </c>
    </row>
    <row r="88">
      <c r="A88" s="21" t="inlineStr">
        <is>
          <t xml:space="preserve">  Inversión - fase 1</t>
        </is>
      </c>
      <c r="C88" s="14">
        <f>IF(C$87=$E$9,-$E$8*(1+Supuestos!$B$5)^MAX($E$9-1,0),0)</f>
        <v/>
      </c>
      <c r="D88" s="14">
        <f>IF(D$87=$E$9,-$E$8*(1+Supuestos!$B$5)^MAX($E$9-1,0),0)</f>
        <v/>
      </c>
      <c r="E88" s="14">
        <f>IF(E$87=$E$9,-$E$8*(1+Supuestos!$B$5)^MAX($E$9-1,0),0)</f>
        <v/>
      </c>
      <c r="F88" s="14">
        <f>IF(F$87=$E$9,-$E$8*(1+Supuestos!$B$5)^MAX($E$9-1,0),0)</f>
        <v/>
      </c>
      <c r="G88" s="14">
        <f>IF(G$87=$E$9,-$E$8*(1+Supuestos!$B$5)^MAX($E$9-1,0),0)</f>
        <v/>
      </c>
      <c r="H88" s="14">
        <f>IF(H$87=$E$9,-$E$8*(1+Supuestos!$B$5)^MAX($E$9-1,0),0)</f>
        <v/>
      </c>
      <c r="I88" s="14">
        <f>IF(I$87=$E$9,-$E$8*(1+Supuestos!$B$5)^MAX($E$9-1,0),0)</f>
        <v/>
      </c>
      <c r="J88" s="14">
        <f>IF(J$87=$E$9,-$E$8*(1+Supuestos!$B$5)^MAX($E$9-1,0),0)</f>
        <v/>
      </c>
      <c r="K88" s="14">
        <f>IF(K$87=$E$9,-$E$8*(1+Supuestos!$B$5)^MAX($E$9-1,0),0)</f>
        <v/>
      </c>
      <c r="L88" s="14">
        <f>IF(L$87=$E$9,-$E$8*(1+Supuestos!$B$5)^MAX($E$9-1,0),0)</f>
        <v/>
      </c>
      <c r="M88" s="14">
        <f>IF(M$87=$E$9,-$E$8*(1+Supuestos!$B$5)^MAX($E$9-1,0),0)</f>
        <v/>
      </c>
      <c r="N88" s="14">
        <f>IF(N$87=$E$9,-$E$8*(1+Supuestos!$B$5)^MAX($E$9-1,0),0)</f>
        <v/>
      </c>
      <c r="O88" s="14">
        <f>IF(O$87=$E$9,-$E$8*(1+Supuestos!$B$5)^MAX($E$9-1,0),0)</f>
        <v/>
      </c>
      <c r="P88" s="14">
        <f>IF(P$87=$E$9,-$E$8*(1+Supuestos!$B$5)^MAX($E$9-1,0),0)</f>
        <v/>
      </c>
      <c r="Q88" s="14">
        <f>IF(Q$87=$E$9,-$E$8*(1+Supuestos!$B$5)^MAX($E$9-1,0),0)</f>
        <v/>
      </c>
      <c r="R88" s="14">
        <f>IF(R$87=$E$9,-$E$8*(1+Supuestos!$B$5)^MAX($E$9-1,0),0)</f>
        <v/>
      </c>
      <c r="S88" s="14">
        <f>IF(S$87=$E$9,-$E$8*(1+Supuestos!$B$5)^MAX($E$9-1,0),0)</f>
        <v/>
      </c>
      <c r="T88" s="14">
        <f>IF(T$87=$E$9,-$E$8*(1+Supuestos!$B$5)^MAX($E$9-1,0),0)</f>
        <v/>
      </c>
      <c r="U88" s="14">
        <f>IF(U$87=$E$9,-$E$8*(1+Supuestos!$B$5)^MAX($E$9-1,0),0)</f>
        <v/>
      </c>
      <c r="V88" s="14">
        <f>IF(V$87=$E$9,-$E$8*(1+Supuestos!$B$5)^MAX($E$9-1,0),0)</f>
        <v/>
      </c>
      <c r="W88" s="14">
        <f>IF(W$87=$E$9,-$E$8*(1+Supuestos!$B$5)^MAX($E$9-1,0),0)</f>
        <v/>
      </c>
    </row>
    <row r="89">
      <c r="A89" s="21" t="inlineStr">
        <is>
          <t xml:space="preserve">  Ingresos cobrados - fase 1</t>
        </is>
      </c>
      <c r="C89" s="14">
        <f>IF((C$87-$E$9)&gt;=1,CHOOSE(Supuestos!$B$3,$E$10,$E$11,$E$12)*12*CHOOSE(Supuestos!$B$3,$E$13,$E$14,$E$15)*IF((C$87-$E$9)=1,$E$19,IF((C$87-$E$9)=2,$E$20,1))*(1+Supuestos!$B$5)^MAX(C$87-1,0),0)</f>
        <v/>
      </c>
      <c r="D89" s="14">
        <f>IF((D$87-$E$9)&gt;=1,CHOOSE(Supuestos!$B$3,$E$10,$E$11,$E$12)*12*CHOOSE(Supuestos!$B$3,$E$13,$E$14,$E$15)*IF((D$87-$E$9)=1,$E$19,IF((D$87-$E$9)=2,$E$20,1))*(1+Supuestos!$B$5)^MAX(D$87-1,0),0)</f>
        <v/>
      </c>
      <c r="E89" s="14">
        <f>IF((E$87-$E$9)&gt;=1,CHOOSE(Supuestos!$B$3,$E$10,$E$11,$E$12)*12*CHOOSE(Supuestos!$B$3,$E$13,$E$14,$E$15)*IF((E$87-$E$9)=1,$E$19,IF((E$87-$E$9)=2,$E$20,1))*(1+Supuestos!$B$5)^MAX(E$87-1,0),0)</f>
        <v/>
      </c>
      <c r="F89" s="14">
        <f>IF((F$87-$E$9)&gt;=1,CHOOSE(Supuestos!$B$3,$E$10,$E$11,$E$12)*12*CHOOSE(Supuestos!$B$3,$E$13,$E$14,$E$15)*IF((F$87-$E$9)=1,$E$19,IF((F$87-$E$9)=2,$E$20,1))*(1+Supuestos!$B$5)^MAX(F$87-1,0),0)</f>
        <v/>
      </c>
      <c r="G89" s="14">
        <f>IF((G$87-$E$9)&gt;=1,CHOOSE(Supuestos!$B$3,$E$10,$E$11,$E$12)*12*CHOOSE(Supuestos!$B$3,$E$13,$E$14,$E$15)*IF((G$87-$E$9)=1,$E$19,IF((G$87-$E$9)=2,$E$20,1))*(1+Supuestos!$B$5)^MAX(G$87-1,0),0)</f>
        <v/>
      </c>
      <c r="H89" s="14">
        <f>IF((H$87-$E$9)&gt;=1,CHOOSE(Supuestos!$B$3,$E$10,$E$11,$E$12)*12*CHOOSE(Supuestos!$B$3,$E$13,$E$14,$E$15)*IF((H$87-$E$9)=1,$E$19,IF((H$87-$E$9)=2,$E$20,1))*(1+Supuestos!$B$5)^MAX(H$87-1,0),0)</f>
        <v/>
      </c>
      <c r="I89" s="14">
        <f>IF((I$87-$E$9)&gt;=1,CHOOSE(Supuestos!$B$3,$E$10,$E$11,$E$12)*12*CHOOSE(Supuestos!$B$3,$E$13,$E$14,$E$15)*IF((I$87-$E$9)=1,$E$19,IF((I$87-$E$9)=2,$E$20,1))*(1+Supuestos!$B$5)^MAX(I$87-1,0),0)</f>
        <v/>
      </c>
      <c r="J89" s="14">
        <f>IF((J$87-$E$9)&gt;=1,CHOOSE(Supuestos!$B$3,$E$10,$E$11,$E$12)*12*CHOOSE(Supuestos!$B$3,$E$13,$E$14,$E$15)*IF((J$87-$E$9)=1,$E$19,IF((J$87-$E$9)=2,$E$20,1))*(1+Supuestos!$B$5)^MAX(J$87-1,0),0)</f>
        <v/>
      </c>
      <c r="K89" s="14">
        <f>IF((K$87-$E$9)&gt;=1,CHOOSE(Supuestos!$B$3,$E$10,$E$11,$E$12)*12*CHOOSE(Supuestos!$B$3,$E$13,$E$14,$E$15)*IF((K$87-$E$9)=1,$E$19,IF((K$87-$E$9)=2,$E$20,1))*(1+Supuestos!$B$5)^MAX(K$87-1,0),0)</f>
        <v/>
      </c>
      <c r="L89" s="14">
        <f>IF((L$87-$E$9)&gt;=1,CHOOSE(Supuestos!$B$3,$E$10,$E$11,$E$12)*12*CHOOSE(Supuestos!$B$3,$E$13,$E$14,$E$15)*IF((L$87-$E$9)=1,$E$19,IF((L$87-$E$9)=2,$E$20,1))*(1+Supuestos!$B$5)^MAX(L$87-1,0),0)</f>
        <v/>
      </c>
      <c r="M89" s="14">
        <f>IF((M$87-$E$9)&gt;=1,CHOOSE(Supuestos!$B$3,$E$10,$E$11,$E$12)*12*CHOOSE(Supuestos!$B$3,$E$13,$E$14,$E$15)*IF((M$87-$E$9)=1,$E$19,IF((M$87-$E$9)=2,$E$20,1))*(1+Supuestos!$B$5)^MAX(M$87-1,0),0)</f>
        <v/>
      </c>
      <c r="N89" s="14">
        <f>IF((N$87-$E$9)&gt;=1,CHOOSE(Supuestos!$B$3,$E$10,$E$11,$E$12)*12*CHOOSE(Supuestos!$B$3,$E$13,$E$14,$E$15)*IF((N$87-$E$9)=1,$E$19,IF((N$87-$E$9)=2,$E$20,1))*(1+Supuestos!$B$5)^MAX(N$87-1,0),0)</f>
        <v/>
      </c>
      <c r="O89" s="14">
        <f>IF((O$87-$E$9)&gt;=1,CHOOSE(Supuestos!$B$3,$E$10,$E$11,$E$12)*12*CHOOSE(Supuestos!$B$3,$E$13,$E$14,$E$15)*IF((O$87-$E$9)=1,$E$19,IF((O$87-$E$9)=2,$E$20,1))*(1+Supuestos!$B$5)^MAX(O$87-1,0),0)</f>
        <v/>
      </c>
      <c r="P89" s="14">
        <f>IF((P$87-$E$9)&gt;=1,CHOOSE(Supuestos!$B$3,$E$10,$E$11,$E$12)*12*CHOOSE(Supuestos!$B$3,$E$13,$E$14,$E$15)*IF((P$87-$E$9)=1,$E$19,IF((P$87-$E$9)=2,$E$20,1))*(1+Supuestos!$B$5)^MAX(P$87-1,0),0)</f>
        <v/>
      </c>
      <c r="Q89" s="14">
        <f>IF((Q$87-$E$9)&gt;=1,CHOOSE(Supuestos!$B$3,$E$10,$E$11,$E$12)*12*CHOOSE(Supuestos!$B$3,$E$13,$E$14,$E$15)*IF((Q$87-$E$9)=1,$E$19,IF((Q$87-$E$9)=2,$E$20,1))*(1+Supuestos!$B$5)^MAX(Q$87-1,0),0)</f>
        <v/>
      </c>
      <c r="R89" s="14">
        <f>IF((R$87-$E$9)&gt;=1,CHOOSE(Supuestos!$B$3,$E$10,$E$11,$E$12)*12*CHOOSE(Supuestos!$B$3,$E$13,$E$14,$E$15)*IF((R$87-$E$9)=1,$E$19,IF((R$87-$E$9)=2,$E$20,1))*(1+Supuestos!$B$5)^MAX(R$87-1,0),0)</f>
        <v/>
      </c>
      <c r="S89" s="14">
        <f>IF((S$87-$E$9)&gt;=1,CHOOSE(Supuestos!$B$3,$E$10,$E$11,$E$12)*12*CHOOSE(Supuestos!$B$3,$E$13,$E$14,$E$15)*IF((S$87-$E$9)=1,$E$19,IF((S$87-$E$9)=2,$E$20,1))*(1+Supuestos!$B$5)^MAX(S$87-1,0),0)</f>
        <v/>
      </c>
      <c r="T89" s="14">
        <f>IF((T$87-$E$9)&gt;=1,CHOOSE(Supuestos!$B$3,$E$10,$E$11,$E$12)*12*CHOOSE(Supuestos!$B$3,$E$13,$E$14,$E$15)*IF((T$87-$E$9)=1,$E$19,IF((T$87-$E$9)=2,$E$20,1))*(1+Supuestos!$B$5)^MAX(T$87-1,0),0)</f>
        <v/>
      </c>
      <c r="U89" s="14">
        <f>IF((U$87-$E$9)&gt;=1,CHOOSE(Supuestos!$B$3,$E$10,$E$11,$E$12)*12*CHOOSE(Supuestos!$B$3,$E$13,$E$14,$E$15)*IF((U$87-$E$9)=1,$E$19,IF((U$87-$E$9)=2,$E$20,1))*(1+Supuestos!$B$5)^MAX(U$87-1,0),0)</f>
        <v/>
      </c>
      <c r="V89" s="14">
        <f>IF((V$87-$E$9)&gt;=1,CHOOSE(Supuestos!$B$3,$E$10,$E$11,$E$12)*12*CHOOSE(Supuestos!$B$3,$E$13,$E$14,$E$15)*IF((V$87-$E$9)=1,$E$19,IF((V$87-$E$9)=2,$E$20,1))*(1+Supuestos!$B$5)^MAX(V$87-1,0),0)</f>
        <v/>
      </c>
      <c r="W89" s="14">
        <f>IF((W$87-$E$9)&gt;=1,CHOOSE(Supuestos!$B$3,$E$10,$E$11,$E$12)*12*CHOOSE(Supuestos!$B$3,$E$13,$E$14,$E$15)*IF((W$87-$E$9)=1,$E$19,IF((W$87-$E$9)=2,$E$20,1))*(1+Supuestos!$B$5)^MAX(W$87-1,0),0)</f>
        <v/>
      </c>
    </row>
    <row r="90">
      <c r="A90" s="21" t="inlineStr">
        <is>
          <t xml:space="preserve">  Gastos - fase 1</t>
        </is>
      </c>
      <c r="C90" s="14">
        <f>IF((C$87-$E$9)&gt;=1,-$E$16*(1+Supuestos!$B$5)^MAX(C$87-1,0)-$E$17*C89,0)</f>
        <v/>
      </c>
      <c r="D90" s="14">
        <f>IF((D$87-$E$9)&gt;=1,-$E$16*(1+Supuestos!$B$5)^MAX(D$87-1,0)-$E$17*D89,0)</f>
        <v/>
      </c>
      <c r="E90" s="14">
        <f>IF((E$87-$E$9)&gt;=1,-$E$16*(1+Supuestos!$B$5)^MAX(E$87-1,0)-$E$17*E89,0)</f>
        <v/>
      </c>
      <c r="F90" s="14">
        <f>IF((F$87-$E$9)&gt;=1,-$E$16*(1+Supuestos!$B$5)^MAX(F$87-1,0)-$E$17*F89,0)</f>
        <v/>
      </c>
      <c r="G90" s="14">
        <f>IF((G$87-$E$9)&gt;=1,-$E$16*(1+Supuestos!$B$5)^MAX(G$87-1,0)-$E$17*G89,0)</f>
        <v/>
      </c>
      <c r="H90" s="14">
        <f>IF((H$87-$E$9)&gt;=1,-$E$16*(1+Supuestos!$B$5)^MAX(H$87-1,0)-$E$17*H89,0)</f>
        <v/>
      </c>
      <c r="I90" s="14">
        <f>IF((I$87-$E$9)&gt;=1,-$E$16*(1+Supuestos!$B$5)^MAX(I$87-1,0)-$E$17*I89,0)</f>
        <v/>
      </c>
      <c r="J90" s="14">
        <f>IF((J$87-$E$9)&gt;=1,-$E$16*(1+Supuestos!$B$5)^MAX(J$87-1,0)-$E$17*J89,0)</f>
        <v/>
      </c>
      <c r="K90" s="14">
        <f>IF((K$87-$E$9)&gt;=1,-$E$16*(1+Supuestos!$B$5)^MAX(K$87-1,0)-$E$17*K89,0)</f>
        <v/>
      </c>
      <c r="L90" s="14">
        <f>IF((L$87-$E$9)&gt;=1,-$E$16*(1+Supuestos!$B$5)^MAX(L$87-1,0)-$E$17*L89,0)</f>
        <v/>
      </c>
      <c r="M90" s="14">
        <f>IF((M$87-$E$9)&gt;=1,-$E$16*(1+Supuestos!$B$5)^MAX(M$87-1,0)-$E$17*M89,0)</f>
        <v/>
      </c>
      <c r="N90" s="14">
        <f>IF((N$87-$E$9)&gt;=1,-$E$16*(1+Supuestos!$B$5)^MAX(N$87-1,0)-$E$17*N89,0)</f>
        <v/>
      </c>
      <c r="O90" s="14">
        <f>IF((O$87-$E$9)&gt;=1,-$E$16*(1+Supuestos!$B$5)^MAX(O$87-1,0)-$E$17*O89,0)</f>
        <v/>
      </c>
      <c r="P90" s="14">
        <f>IF((P$87-$E$9)&gt;=1,-$E$16*(1+Supuestos!$B$5)^MAX(P$87-1,0)-$E$17*P89,0)</f>
        <v/>
      </c>
      <c r="Q90" s="14">
        <f>IF((Q$87-$E$9)&gt;=1,-$E$16*(1+Supuestos!$B$5)^MAX(Q$87-1,0)-$E$17*Q89,0)</f>
        <v/>
      </c>
      <c r="R90" s="14">
        <f>IF((R$87-$E$9)&gt;=1,-$E$16*(1+Supuestos!$B$5)^MAX(R$87-1,0)-$E$17*R89,0)</f>
        <v/>
      </c>
      <c r="S90" s="14">
        <f>IF((S$87-$E$9)&gt;=1,-$E$16*(1+Supuestos!$B$5)^MAX(S$87-1,0)-$E$17*S89,0)</f>
        <v/>
      </c>
      <c r="T90" s="14">
        <f>IF((T$87-$E$9)&gt;=1,-$E$16*(1+Supuestos!$B$5)^MAX(T$87-1,0)-$E$17*T89,0)</f>
        <v/>
      </c>
      <c r="U90" s="14">
        <f>IF((U$87-$E$9)&gt;=1,-$E$16*(1+Supuestos!$B$5)^MAX(U$87-1,0)-$E$17*U89,0)</f>
        <v/>
      </c>
      <c r="V90" s="14">
        <f>IF((V$87-$E$9)&gt;=1,-$E$16*(1+Supuestos!$B$5)^MAX(V$87-1,0)-$E$17*V89,0)</f>
        <v/>
      </c>
      <c r="W90" s="14">
        <f>IF((W$87-$E$9)&gt;=1,-$E$16*(1+Supuestos!$B$5)^MAX(W$87-1,0)-$E$17*W89,0)</f>
        <v/>
      </c>
    </row>
    <row r="91">
      <c r="A91" s="21" t="inlineStr">
        <is>
          <t xml:space="preserve">  Impuestos - fase 1</t>
        </is>
      </c>
      <c r="C91" s="14">
        <f>-$E$18*C89</f>
        <v/>
      </c>
      <c r="D91" s="14">
        <f>-$E$18*D89</f>
        <v/>
      </c>
      <c r="E91" s="14">
        <f>-$E$18*E89</f>
        <v/>
      </c>
      <c r="F91" s="14">
        <f>-$E$18*F89</f>
        <v/>
      </c>
      <c r="G91" s="14">
        <f>-$E$18*G89</f>
        <v/>
      </c>
      <c r="H91" s="14">
        <f>-$E$18*H89</f>
        <v/>
      </c>
      <c r="I91" s="14">
        <f>-$E$18*I89</f>
        <v/>
      </c>
      <c r="J91" s="14">
        <f>-$E$18*J89</f>
        <v/>
      </c>
      <c r="K91" s="14">
        <f>-$E$18*K89</f>
        <v/>
      </c>
      <c r="L91" s="14">
        <f>-$E$18*L89</f>
        <v/>
      </c>
      <c r="M91" s="14">
        <f>-$E$18*M89</f>
        <v/>
      </c>
      <c r="N91" s="14">
        <f>-$E$18*N89</f>
        <v/>
      </c>
      <c r="O91" s="14">
        <f>-$E$18*O89</f>
        <v/>
      </c>
      <c r="P91" s="14">
        <f>-$E$18*P89</f>
        <v/>
      </c>
      <c r="Q91" s="14">
        <f>-$E$18*Q89</f>
        <v/>
      </c>
      <c r="R91" s="14">
        <f>-$E$18*R89</f>
        <v/>
      </c>
      <c r="S91" s="14">
        <f>-$E$18*S89</f>
        <v/>
      </c>
      <c r="T91" s="14">
        <f>-$E$18*T89</f>
        <v/>
      </c>
      <c r="U91" s="14">
        <f>-$E$18*U89</f>
        <v/>
      </c>
      <c r="V91" s="14">
        <f>-$E$18*V89</f>
        <v/>
      </c>
      <c r="W91" s="14">
        <f>-$E$18*W89</f>
        <v/>
      </c>
    </row>
    <row r="92">
      <c r="A92" s="21" t="inlineStr">
        <is>
          <t xml:space="preserve">  Reposiciones - fase 1</t>
        </is>
      </c>
      <c r="C92" s="14">
        <f>0</f>
        <v/>
      </c>
      <c r="D92" s="14">
        <f>0</f>
        <v/>
      </c>
      <c r="E92" s="14">
        <f>0</f>
        <v/>
      </c>
      <c r="F92" s="14">
        <f>0</f>
        <v/>
      </c>
      <c r="G92" s="14">
        <f>0</f>
        <v/>
      </c>
      <c r="H92" s="14">
        <f>0</f>
        <v/>
      </c>
      <c r="I92" s="14">
        <f>0</f>
        <v/>
      </c>
      <c r="J92" s="14">
        <f>0</f>
        <v/>
      </c>
      <c r="K92" s="14">
        <f>0</f>
        <v/>
      </c>
      <c r="L92" s="14">
        <f>0</f>
        <v/>
      </c>
      <c r="M92" s="14">
        <f>0</f>
        <v/>
      </c>
      <c r="N92" s="14">
        <f>0</f>
        <v/>
      </c>
      <c r="O92" s="14">
        <f>0</f>
        <v/>
      </c>
      <c r="P92" s="14">
        <f>0</f>
        <v/>
      </c>
      <c r="Q92" s="14">
        <f>0</f>
        <v/>
      </c>
      <c r="R92" s="14">
        <f>0</f>
        <v/>
      </c>
      <c r="S92" s="14">
        <f>0</f>
        <v/>
      </c>
      <c r="T92" s="14">
        <f>0</f>
        <v/>
      </c>
      <c r="U92" s="14">
        <f>0</f>
        <v/>
      </c>
      <c r="V92" s="14">
        <f>0</f>
        <v/>
      </c>
      <c r="W92" s="14">
        <f>0</f>
        <v/>
      </c>
    </row>
    <row r="93">
      <c r="A93" s="21" t="inlineStr">
        <is>
          <t xml:space="preserve">  Valor residual (año 20) - fase 1</t>
        </is>
      </c>
      <c r="C93" s="14">
        <f>IF(AND(C$87=20,$E$21&gt;1),$E$8*(1+Supuestos!$B$5)^MAX($E$9-1,0)*MAX(0,1-(20-$E$9)/$E$21),0)</f>
        <v/>
      </c>
      <c r="D93" s="14">
        <f>IF(AND(D$87=20,$E$21&gt;1),$E$8*(1+Supuestos!$B$5)^MAX($E$9-1,0)*MAX(0,1-(20-$E$9)/$E$21),0)</f>
        <v/>
      </c>
      <c r="E93" s="14">
        <f>IF(AND(E$87=20,$E$21&gt;1),$E$8*(1+Supuestos!$B$5)^MAX($E$9-1,0)*MAX(0,1-(20-$E$9)/$E$21),0)</f>
        <v/>
      </c>
      <c r="F93" s="14">
        <f>IF(AND(F$87=20,$E$21&gt;1),$E$8*(1+Supuestos!$B$5)^MAX($E$9-1,0)*MAX(0,1-(20-$E$9)/$E$21),0)</f>
        <v/>
      </c>
      <c r="G93" s="14">
        <f>IF(AND(G$87=20,$E$21&gt;1),$E$8*(1+Supuestos!$B$5)^MAX($E$9-1,0)*MAX(0,1-(20-$E$9)/$E$21),0)</f>
        <v/>
      </c>
      <c r="H93" s="14">
        <f>IF(AND(H$87=20,$E$21&gt;1),$E$8*(1+Supuestos!$B$5)^MAX($E$9-1,0)*MAX(0,1-(20-$E$9)/$E$21),0)</f>
        <v/>
      </c>
      <c r="I93" s="14">
        <f>IF(AND(I$87=20,$E$21&gt;1),$E$8*(1+Supuestos!$B$5)^MAX($E$9-1,0)*MAX(0,1-(20-$E$9)/$E$21),0)</f>
        <v/>
      </c>
      <c r="J93" s="14">
        <f>IF(AND(J$87=20,$E$21&gt;1),$E$8*(1+Supuestos!$B$5)^MAX($E$9-1,0)*MAX(0,1-(20-$E$9)/$E$21),0)</f>
        <v/>
      </c>
      <c r="K93" s="14">
        <f>IF(AND(K$87=20,$E$21&gt;1),$E$8*(1+Supuestos!$B$5)^MAX($E$9-1,0)*MAX(0,1-(20-$E$9)/$E$21),0)</f>
        <v/>
      </c>
      <c r="L93" s="14">
        <f>IF(AND(L$87=20,$E$21&gt;1),$E$8*(1+Supuestos!$B$5)^MAX($E$9-1,0)*MAX(0,1-(20-$E$9)/$E$21),0)</f>
        <v/>
      </c>
      <c r="M93" s="14">
        <f>IF(AND(M$87=20,$E$21&gt;1),$E$8*(1+Supuestos!$B$5)^MAX($E$9-1,0)*MAX(0,1-(20-$E$9)/$E$21),0)</f>
        <v/>
      </c>
      <c r="N93" s="14">
        <f>IF(AND(N$87=20,$E$21&gt;1),$E$8*(1+Supuestos!$B$5)^MAX($E$9-1,0)*MAX(0,1-(20-$E$9)/$E$21),0)</f>
        <v/>
      </c>
      <c r="O93" s="14">
        <f>IF(AND(O$87=20,$E$21&gt;1),$E$8*(1+Supuestos!$B$5)^MAX($E$9-1,0)*MAX(0,1-(20-$E$9)/$E$21),0)</f>
        <v/>
      </c>
      <c r="P93" s="14">
        <f>IF(AND(P$87=20,$E$21&gt;1),$E$8*(1+Supuestos!$B$5)^MAX($E$9-1,0)*MAX(0,1-(20-$E$9)/$E$21),0)</f>
        <v/>
      </c>
      <c r="Q93" s="14">
        <f>IF(AND(Q$87=20,$E$21&gt;1),$E$8*(1+Supuestos!$B$5)^MAX($E$9-1,0)*MAX(0,1-(20-$E$9)/$E$21),0)</f>
        <v/>
      </c>
      <c r="R93" s="14">
        <f>IF(AND(R$87=20,$E$21&gt;1),$E$8*(1+Supuestos!$B$5)^MAX($E$9-1,0)*MAX(0,1-(20-$E$9)/$E$21),0)</f>
        <v/>
      </c>
      <c r="S93" s="14">
        <f>IF(AND(S$87=20,$E$21&gt;1),$E$8*(1+Supuestos!$B$5)^MAX($E$9-1,0)*MAX(0,1-(20-$E$9)/$E$21),0)</f>
        <v/>
      </c>
      <c r="T93" s="14">
        <f>IF(AND(T$87=20,$E$21&gt;1),$E$8*(1+Supuestos!$B$5)^MAX($E$9-1,0)*MAX(0,1-(20-$E$9)/$E$21),0)</f>
        <v/>
      </c>
      <c r="U93" s="14">
        <f>IF(AND(U$87=20,$E$21&gt;1),$E$8*(1+Supuestos!$B$5)^MAX($E$9-1,0)*MAX(0,1-(20-$E$9)/$E$21),0)</f>
        <v/>
      </c>
      <c r="V93" s="14">
        <f>IF(AND(V$87=20,$E$21&gt;1),$E$8*(1+Supuestos!$B$5)^MAX($E$9-1,0)*MAX(0,1-(20-$E$9)/$E$21),0)</f>
        <v/>
      </c>
      <c r="W93" s="14">
        <f>IF(AND(W$87=20,$E$21&gt;1),$E$8*(1+Supuestos!$B$5)^MAX($E$9-1,0)*MAX(0,1-(20-$E$9)/$E$21),0)</f>
        <v/>
      </c>
    </row>
    <row r="94">
      <c r="A94" s="21" t="inlineStr">
        <is>
          <t xml:space="preserve">  Inversión - fase 2</t>
        </is>
      </c>
      <c r="C94" s="14">
        <f>IF(C$87=$E$28,-$E$27*(1+Supuestos!$B$5)^MAX($E$28-1,0),0)</f>
        <v/>
      </c>
      <c r="D94" s="14">
        <f>IF(D$87=$E$28,-$E$27*(1+Supuestos!$B$5)^MAX($E$28-1,0),0)</f>
        <v/>
      </c>
      <c r="E94" s="14">
        <f>IF(E$87=$E$28,-$E$27*(1+Supuestos!$B$5)^MAX($E$28-1,0),0)</f>
        <v/>
      </c>
      <c r="F94" s="14">
        <f>IF(F$87=$E$28,-$E$27*(1+Supuestos!$B$5)^MAX($E$28-1,0),0)</f>
        <v/>
      </c>
      <c r="G94" s="14">
        <f>IF(G$87=$E$28,-$E$27*(1+Supuestos!$B$5)^MAX($E$28-1,0),0)</f>
        <v/>
      </c>
      <c r="H94" s="14">
        <f>IF(H$87=$E$28,-$E$27*(1+Supuestos!$B$5)^MAX($E$28-1,0),0)</f>
        <v/>
      </c>
      <c r="I94" s="14">
        <f>IF(I$87=$E$28,-$E$27*(1+Supuestos!$B$5)^MAX($E$28-1,0),0)</f>
        <v/>
      </c>
      <c r="J94" s="14">
        <f>IF(J$87=$E$28,-$E$27*(1+Supuestos!$B$5)^MAX($E$28-1,0),0)</f>
        <v/>
      </c>
      <c r="K94" s="14">
        <f>IF(K$87=$E$28,-$E$27*(1+Supuestos!$B$5)^MAX($E$28-1,0),0)</f>
        <v/>
      </c>
      <c r="L94" s="14">
        <f>IF(L$87=$E$28,-$E$27*(1+Supuestos!$B$5)^MAX($E$28-1,0),0)</f>
        <v/>
      </c>
      <c r="M94" s="14">
        <f>IF(M$87=$E$28,-$E$27*(1+Supuestos!$B$5)^MAX($E$28-1,0),0)</f>
        <v/>
      </c>
      <c r="N94" s="14">
        <f>IF(N$87=$E$28,-$E$27*(1+Supuestos!$B$5)^MAX($E$28-1,0),0)</f>
        <v/>
      </c>
      <c r="O94" s="14">
        <f>IF(O$87=$E$28,-$E$27*(1+Supuestos!$B$5)^MAX($E$28-1,0),0)</f>
        <v/>
      </c>
      <c r="P94" s="14">
        <f>IF(P$87=$E$28,-$E$27*(1+Supuestos!$B$5)^MAX($E$28-1,0),0)</f>
        <v/>
      </c>
      <c r="Q94" s="14">
        <f>IF(Q$87=$E$28,-$E$27*(1+Supuestos!$B$5)^MAX($E$28-1,0),0)</f>
        <v/>
      </c>
      <c r="R94" s="14">
        <f>IF(R$87=$E$28,-$E$27*(1+Supuestos!$B$5)^MAX($E$28-1,0),0)</f>
        <v/>
      </c>
      <c r="S94" s="14">
        <f>IF(S$87=$E$28,-$E$27*(1+Supuestos!$B$5)^MAX($E$28-1,0),0)</f>
        <v/>
      </c>
      <c r="T94" s="14">
        <f>IF(T$87=$E$28,-$E$27*(1+Supuestos!$B$5)^MAX($E$28-1,0),0)</f>
        <v/>
      </c>
      <c r="U94" s="14">
        <f>IF(U$87=$E$28,-$E$27*(1+Supuestos!$B$5)^MAX($E$28-1,0),0)</f>
        <v/>
      </c>
      <c r="V94" s="14">
        <f>IF(V$87=$E$28,-$E$27*(1+Supuestos!$B$5)^MAX($E$28-1,0),0)</f>
        <v/>
      </c>
      <c r="W94" s="14">
        <f>IF(W$87=$E$28,-$E$27*(1+Supuestos!$B$5)^MAX($E$28-1,0),0)</f>
        <v/>
      </c>
    </row>
    <row r="95">
      <c r="A95" s="21" t="inlineStr">
        <is>
          <t xml:space="preserve">  Ingresos cobrados - fase 2</t>
        </is>
      </c>
      <c r="C95" s="14">
        <f>IF((C$87-$E$28)&gt;=1,CHOOSE(Supuestos!$B$3,$E$29,$E$30,$E$31)*12*CHOOSE(Supuestos!$B$3,$E$32,$E$33,$E$34)*IF((C$87-$E$28)=1,$E$38,IF((C$87-$E$28)=2,$E$39,1))*(1+Supuestos!$B$5)^MAX(C$87-1,0),0)</f>
        <v/>
      </c>
      <c r="D95" s="14">
        <f>IF((D$87-$E$28)&gt;=1,CHOOSE(Supuestos!$B$3,$E$29,$E$30,$E$31)*12*CHOOSE(Supuestos!$B$3,$E$32,$E$33,$E$34)*IF((D$87-$E$28)=1,$E$38,IF((D$87-$E$28)=2,$E$39,1))*(1+Supuestos!$B$5)^MAX(D$87-1,0),0)</f>
        <v/>
      </c>
      <c r="E95" s="14">
        <f>IF((E$87-$E$28)&gt;=1,CHOOSE(Supuestos!$B$3,$E$29,$E$30,$E$31)*12*CHOOSE(Supuestos!$B$3,$E$32,$E$33,$E$34)*IF((E$87-$E$28)=1,$E$38,IF((E$87-$E$28)=2,$E$39,1))*(1+Supuestos!$B$5)^MAX(E$87-1,0),0)</f>
        <v/>
      </c>
      <c r="F95" s="14">
        <f>IF((F$87-$E$28)&gt;=1,CHOOSE(Supuestos!$B$3,$E$29,$E$30,$E$31)*12*CHOOSE(Supuestos!$B$3,$E$32,$E$33,$E$34)*IF((F$87-$E$28)=1,$E$38,IF((F$87-$E$28)=2,$E$39,1))*(1+Supuestos!$B$5)^MAX(F$87-1,0),0)</f>
        <v/>
      </c>
      <c r="G95" s="14">
        <f>IF((G$87-$E$28)&gt;=1,CHOOSE(Supuestos!$B$3,$E$29,$E$30,$E$31)*12*CHOOSE(Supuestos!$B$3,$E$32,$E$33,$E$34)*IF((G$87-$E$28)=1,$E$38,IF((G$87-$E$28)=2,$E$39,1))*(1+Supuestos!$B$5)^MAX(G$87-1,0),0)</f>
        <v/>
      </c>
      <c r="H95" s="14">
        <f>IF((H$87-$E$28)&gt;=1,CHOOSE(Supuestos!$B$3,$E$29,$E$30,$E$31)*12*CHOOSE(Supuestos!$B$3,$E$32,$E$33,$E$34)*IF((H$87-$E$28)=1,$E$38,IF((H$87-$E$28)=2,$E$39,1))*(1+Supuestos!$B$5)^MAX(H$87-1,0),0)</f>
        <v/>
      </c>
      <c r="I95" s="14">
        <f>IF((I$87-$E$28)&gt;=1,CHOOSE(Supuestos!$B$3,$E$29,$E$30,$E$31)*12*CHOOSE(Supuestos!$B$3,$E$32,$E$33,$E$34)*IF((I$87-$E$28)=1,$E$38,IF((I$87-$E$28)=2,$E$39,1))*(1+Supuestos!$B$5)^MAX(I$87-1,0),0)</f>
        <v/>
      </c>
      <c r="J95" s="14">
        <f>IF((J$87-$E$28)&gt;=1,CHOOSE(Supuestos!$B$3,$E$29,$E$30,$E$31)*12*CHOOSE(Supuestos!$B$3,$E$32,$E$33,$E$34)*IF((J$87-$E$28)=1,$E$38,IF((J$87-$E$28)=2,$E$39,1))*(1+Supuestos!$B$5)^MAX(J$87-1,0),0)</f>
        <v/>
      </c>
      <c r="K95" s="14">
        <f>IF((K$87-$E$28)&gt;=1,CHOOSE(Supuestos!$B$3,$E$29,$E$30,$E$31)*12*CHOOSE(Supuestos!$B$3,$E$32,$E$33,$E$34)*IF((K$87-$E$28)=1,$E$38,IF((K$87-$E$28)=2,$E$39,1))*(1+Supuestos!$B$5)^MAX(K$87-1,0),0)</f>
        <v/>
      </c>
      <c r="L95" s="14">
        <f>IF((L$87-$E$28)&gt;=1,CHOOSE(Supuestos!$B$3,$E$29,$E$30,$E$31)*12*CHOOSE(Supuestos!$B$3,$E$32,$E$33,$E$34)*IF((L$87-$E$28)=1,$E$38,IF((L$87-$E$28)=2,$E$39,1))*(1+Supuestos!$B$5)^MAX(L$87-1,0),0)</f>
        <v/>
      </c>
      <c r="M95" s="14">
        <f>IF((M$87-$E$28)&gt;=1,CHOOSE(Supuestos!$B$3,$E$29,$E$30,$E$31)*12*CHOOSE(Supuestos!$B$3,$E$32,$E$33,$E$34)*IF((M$87-$E$28)=1,$E$38,IF((M$87-$E$28)=2,$E$39,1))*(1+Supuestos!$B$5)^MAX(M$87-1,0),0)</f>
        <v/>
      </c>
      <c r="N95" s="14">
        <f>IF((N$87-$E$28)&gt;=1,CHOOSE(Supuestos!$B$3,$E$29,$E$30,$E$31)*12*CHOOSE(Supuestos!$B$3,$E$32,$E$33,$E$34)*IF((N$87-$E$28)=1,$E$38,IF((N$87-$E$28)=2,$E$39,1))*(1+Supuestos!$B$5)^MAX(N$87-1,0),0)</f>
        <v/>
      </c>
      <c r="O95" s="14">
        <f>IF((O$87-$E$28)&gt;=1,CHOOSE(Supuestos!$B$3,$E$29,$E$30,$E$31)*12*CHOOSE(Supuestos!$B$3,$E$32,$E$33,$E$34)*IF((O$87-$E$28)=1,$E$38,IF((O$87-$E$28)=2,$E$39,1))*(1+Supuestos!$B$5)^MAX(O$87-1,0),0)</f>
        <v/>
      </c>
      <c r="P95" s="14">
        <f>IF((P$87-$E$28)&gt;=1,CHOOSE(Supuestos!$B$3,$E$29,$E$30,$E$31)*12*CHOOSE(Supuestos!$B$3,$E$32,$E$33,$E$34)*IF((P$87-$E$28)=1,$E$38,IF((P$87-$E$28)=2,$E$39,1))*(1+Supuestos!$B$5)^MAX(P$87-1,0),0)</f>
        <v/>
      </c>
      <c r="Q95" s="14">
        <f>IF((Q$87-$E$28)&gt;=1,CHOOSE(Supuestos!$B$3,$E$29,$E$30,$E$31)*12*CHOOSE(Supuestos!$B$3,$E$32,$E$33,$E$34)*IF((Q$87-$E$28)=1,$E$38,IF((Q$87-$E$28)=2,$E$39,1))*(1+Supuestos!$B$5)^MAX(Q$87-1,0),0)</f>
        <v/>
      </c>
      <c r="R95" s="14">
        <f>IF((R$87-$E$28)&gt;=1,CHOOSE(Supuestos!$B$3,$E$29,$E$30,$E$31)*12*CHOOSE(Supuestos!$B$3,$E$32,$E$33,$E$34)*IF((R$87-$E$28)=1,$E$38,IF((R$87-$E$28)=2,$E$39,1))*(1+Supuestos!$B$5)^MAX(R$87-1,0),0)</f>
        <v/>
      </c>
      <c r="S95" s="14">
        <f>IF((S$87-$E$28)&gt;=1,CHOOSE(Supuestos!$B$3,$E$29,$E$30,$E$31)*12*CHOOSE(Supuestos!$B$3,$E$32,$E$33,$E$34)*IF((S$87-$E$28)=1,$E$38,IF((S$87-$E$28)=2,$E$39,1))*(1+Supuestos!$B$5)^MAX(S$87-1,0),0)</f>
        <v/>
      </c>
      <c r="T95" s="14">
        <f>IF((T$87-$E$28)&gt;=1,CHOOSE(Supuestos!$B$3,$E$29,$E$30,$E$31)*12*CHOOSE(Supuestos!$B$3,$E$32,$E$33,$E$34)*IF((T$87-$E$28)=1,$E$38,IF((T$87-$E$28)=2,$E$39,1))*(1+Supuestos!$B$5)^MAX(T$87-1,0),0)</f>
        <v/>
      </c>
      <c r="U95" s="14">
        <f>IF((U$87-$E$28)&gt;=1,CHOOSE(Supuestos!$B$3,$E$29,$E$30,$E$31)*12*CHOOSE(Supuestos!$B$3,$E$32,$E$33,$E$34)*IF((U$87-$E$28)=1,$E$38,IF((U$87-$E$28)=2,$E$39,1))*(1+Supuestos!$B$5)^MAX(U$87-1,0),0)</f>
        <v/>
      </c>
      <c r="V95" s="14">
        <f>IF((V$87-$E$28)&gt;=1,CHOOSE(Supuestos!$B$3,$E$29,$E$30,$E$31)*12*CHOOSE(Supuestos!$B$3,$E$32,$E$33,$E$34)*IF((V$87-$E$28)=1,$E$38,IF((V$87-$E$28)=2,$E$39,1))*(1+Supuestos!$B$5)^MAX(V$87-1,0),0)</f>
        <v/>
      </c>
      <c r="W95" s="14">
        <f>IF((W$87-$E$28)&gt;=1,CHOOSE(Supuestos!$B$3,$E$29,$E$30,$E$31)*12*CHOOSE(Supuestos!$B$3,$E$32,$E$33,$E$34)*IF((W$87-$E$28)=1,$E$38,IF((W$87-$E$28)=2,$E$39,1))*(1+Supuestos!$B$5)^MAX(W$87-1,0),0)</f>
        <v/>
      </c>
    </row>
    <row r="96">
      <c r="A96" s="21" t="inlineStr">
        <is>
          <t xml:space="preserve">  Gastos - fase 2</t>
        </is>
      </c>
      <c r="C96" s="14">
        <f>IF((C$87-$E$28)&gt;=1,-$E$35*(1+Supuestos!$B$5)^MAX(C$87-1,0)-$E$36*C95,0)</f>
        <v/>
      </c>
      <c r="D96" s="14">
        <f>IF((D$87-$E$28)&gt;=1,-$E$35*(1+Supuestos!$B$5)^MAX(D$87-1,0)-$E$36*D95,0)</f>
        <v/>
      </c>
      <c r="E96" s="14">
        <f>IF((E$87-$E$28)&gt;=1,-$E$35*(1+Supuestos!$B$5)^MAX(E$87-1,0)-$E$36*E95,0)</f>
        <v/>
      </c>
      <c r="F96" s="14">
        <f>IF((F$87-$E$28)&gt;=1,-$E$35*(1+Supuestos!$B$5)^MAX(F$87-1,0)-$E$36*F95,0)</f>
        <v/>
      </c>
      <c r="G96" s="14">
        <f>IF((G$87-$E$28)&gt;=1,-$E$35*(1+Supuestos!$B$5)^MAX(G$87-1,0)-$E$36*G95,0)</f>
        <v/>
      </c>
      <c r="H96" s="14">
        <f>IF((H$87-$E$28)&gt;=1,-$E$35*(1+Supuestos!$B$5)^MAX(H$87-1,0)-$E$36*H95,0)</f>
        <v/>
      </c>
      <c r="I96" s="14">
        <f>IF((I$87-$E$28)&gt;=1,-$E$35*(1+Supuestos!$B$5)^MAX(I$87-1,0)-$E$36*I95,0)</f>
        <v/>
      </c>
      <c r="J96" s="14">
        <f>IF((J$87-$E$28)&gt;=1,-$E$35*(1+Supuestos!$B$5)^MAX(J$87-1,0)-$E$36*J95,0)</f>
        <v/>
      </c>
      <c r="K96" s="14">
        <f>IF((K$87-$E$28)&gt;=1,-$E$35*(1+Supuestos!$B$5)^MAX(K$87-1,0)-$E$36*K95,0)</f>
        <v/>
      </c>
      <c r="L96" s="14">
        <f>IF((L$87-$E$28)&gt;=1,-$E$35*(1+Supuestos!$B$5)^MAX(L$87-1,0)-$E$36*L95,0)</f>
        <v/>
      </c>
      <c r="M96" s="14">
        <f>IF((M$87-$E$28)&gt;=1,-$E$35*(1+Supuestos!$B$5)^MAX(M$87-1,0)-$E$36*M95,0)</f>
        <v/>
      </c>
      <c r="N96" s="14">
        <f>IF((N$87-$E$28)&gt;=1,-$E$35*(1+Supuestos!$B$5)^MAX(N$87-1,0)-$E$36*N95,0)</f>
        <v/>
      </c>
      <c r="O96" s="14">
        <f>IF((O$87-$E$28)&gt;=1,-$E$35*(1+Supuestos!$B$5)^MAX(O$87-1,0)-$E$36*O95,0)</f>
        <v/>
      </c>
      <c r="P96" s="14">
        <f>IF((P$87-$E$28)&gt;=1,-$E$35*(1+Supuestos!$B$5)^MAX(P$87-1,0)-$E$36*P95,0)</f>
        <v/>
      </c>
      <c r="Q96" s="14">
        <f>IF((Q$87-$E$28)&gt;=1,-$E$35*(1+Supuestos!$B$5)^MAX(Q$87-1,0)-$E$36*Q95,0)</f>
        <v/>
      </c>
      <c r="R96" s="14">
        <f>IF((R$87-$E$28)&gt;=1,-$E$35*(1+Supuestos!$B$5)^MAX(R$87-1,0)-$E$36*R95,0)</f>
        <v/>
      </c>
      <c r="S96" s="14">
        <f>IF((S$87-$E$28)&gt;=1,-$E$35*(1+Supuestos!$B$5)^MAX(S$87-1,0)-$E$36*S95,0)</f>
        <v/>
      </c>
      <c r="T96" s="14">
        <f>IF((T$87-$E$28)&gt;=1,-$E$35*(1+Supuestos!$B$5)^MAX(T$87-1,0)-$E$36*T95,0)</f>
        <v/>
      </c>
      <c r="U96" s="14">
        <f>IF((U$87-$E$28)&gt;=1,-$E$35*(1+Supuestos!$B$5)^MAX(U$87-1,0)-$E$36*U95,0)</f>
        <v/>
      </c>
      <c r="V96" s="14">
        <f>IF((V$87-$E$28)&gt;=1,-$E$35*(1+Supuestos!$B$5)^MAX(V$87-1,0)-$E$36*V95,0)</f>
        <v/>
      </c>
      <c r="W96" s="14">
        <f>IF((W$87-$E$28)&gt;=1,-$E$35*(1+Supuestos!$B$5)^MAX(W$87-1,0)-$E$36*W95,0)</f>
        <v/>
      </c>
    </row>
    <row r="97">
      <c r="A97" s="21" t="inlineStr">
        <is>
          <t xml:space="preserve">  Impuestos - fase 2</t>
        </is>
      </c>
      <c r="C97" s="14">
        <f>-$E$37*C95</f>
        <v/>
      </c>
      <c r="D97" s="14">
        <f>-$E$37*D95</f>
        <v/>
      </c>
      <c r="E97" s="14">
        <f>-$E$37*E95</f>
        <v/>
      </c>
      <c r="F97" s="14">
        <f>-$E$37*F95</f>
        <v/>
      </c>
      <c r="G97" s="14">
        <f>-$E$37*G95</f>
        <v/>
      </c>
      <c r="H97" s="14">
        <f>-$E$37*H95</f>
        <v/>
      </c>
      <c r="I97" s="14">
        <f>-$E$37*I95</f>
        <v/>
      </c>
      <c r="J97" s="14">
        <f>-$E$37*J95</f>
        <v/>
      </c>
      <c r="K97" s="14">
        <f>-$E$37*K95</f>
        <v/>
      </c>
      <c r="L97" s="14">
        <f>-$E$37*L95</f>
        <v/>
      </c>
      <c r="M97" s="14">
        <f>-$E$37*M95</f>
        <v/>
      </c>
      <c r="N97" s="14">
        <f>-$E$37*N95</f>
        <v/>
      </c>
      <c r="O97" s="14">
        <f>-$E$37*O95</f>
        <v/>
      </c>
      <c r="P97" s="14">
        <f>-$E$37*P95</f>
        <v/>
      </c>
      <c r="Q97" s="14">
        <f>-$E$37*Q95</f>
        <v/>
      </c>
      <c r="R97" s="14">
        <f>-$E$37*R95</f>
        <v/>
      </c>
      <c r="S97" s="14">
        <f>-$E$37*S95</f>
        <v/>
      </c>
      <c r="T97" s="14">
        <f>-$E$37*T95</f>
        <v/>
      </c>
      <c r="U97" s="14">
        <f>-$E$37*U95</f>
        <v/>
      </c>
      <c r="V97" s="14">
        <f>-$E$37*V95</f>
        <v/>
      </c>
      <c r="W97" s="14">
        <f>-$E$37*W95</f>
        <v/>
      </c>
    </row>
    <row r="98">
      <c r="A98" s="21" t="inlineStr">
        <is>
          <t xml:space="preserve">  Reposiciones - fase 2</t>
        </is>
      </c>
      <c r="C98" s="14">
        <f>0</f>
        <v/>
      </c>
      <c r="D98" s="14">
        <f>0</f>
        <v/>
      </c>
      <c r="E98" s="14">
        <f>0</f>
        <v/>
      </c>
      <c r="F98" s="14">
        <f>0</f>
        <v/>
      </c>
      <c r="G98" s="14">
        <f>0</f>
        <v/>
      </c>
      <c r="H98" s="14">
        <f>0</f>
        <v/>
      </c>
      <c r="I98" s="14">
        <f>0</f>
        <v/>
      </c>
      <c r="J98" s="14">
        <f>0</f>
        <v/>
      </c>
      <c r="K98" s="14">
        <f>0</f>
        <v/>
      </c>
      <c r="L98" s="14">
        <f>0</f>
        <v/>
      </c>
      <c r="M98" s="14">
        <f>0</f>
        <v/>
      </c>
      <c r="N98" s="14">
        <f>0</f>
        <v/>
      </c>
      <c r="O98" s="14">
        <f>0</f>
        <v/>
      </c>
      <c r="P98" s="14">
        <f>0</f>
        <v/>
      </c>
      <c r="Q98" s="14">
        <f>0</f>
        <v/>
      </c>
      <c r="R98" s="14">
        <f>0</f>
        <v/>
      </c>
      <c r="S98" s="14">
        <f>0</f>
        <v/>
      </c>
      <c r="T98" s="14">
        <f>0</f>
        <v/>
      </c>
      <c r="U98" s="14">
        <f>0</f>
        <v/>
      </c>
      <c r="V98" s="14">
        <f>0</f>
        <v/>
      </c>
      <c r="W98" s="14">
        <f>0</f>
        <v/>
      </c>
    </row>
    <row r="99">
      <c r="A99" s="21" t="inlineStr">
        <is>
          <t xml:space="preserve">  Valor residual (año 20) - fase 2</t>
        </is>
      </c>
      <c r="C99" s="14">
        <f>IF(AND(C$87=20,$E$40&gt;1),$E$27*(1+Supuestos!$B$5)^MAX($E$28-1,0)*MAX(0,1-(20-$E$28)/$E$40),0)</f>
        <v/>
      </c>
      <c r="D99" s="14">
        <f>IF(AND(D$87=20,$E$40&gt;1),$E$27*(1+Supuestos!$B$5)^MAX($E$28-1,0)*MAX(0,1-(20-$E$28)/$E$40),0)</f>
        <v/>
      </c>
      <c r="E99" s="14">
        <f>IF(AND(E$87=20,$E$40&gt;1),$E$27*(1+Supuestos!$B$5)^MAX($E$28-1,0)*MAX(0,1-(20-$E$28)/$E$40),0)</f>
        <v/>
      </c>
      <c r="F99" s="14">
        <f>IF(AND(F$87=20,$E$40&gt;1),$E$27*(1+Supuestos!$B$5)^MAX($E$28-1,0)*MAX(0,1-(20-$E$28)/$E$40),0)</f>
        <v/>
      </c>
      <c r="G99" s="14">
        <f>IF(AND(G$87=20,$E$40&gt;1),$E$27*(1+Supuestos!$B$5)^MAX($E$28-1,0)*MAX(0,1-(20-$E$28)/$E$40),0)</f>
        <v/>
      </c>
      <c r="H99" s="14">
        <f>IF(AND(H$87=20,$E$40&gt;1),$E$27*(1+Supuestos!$B$5)^MAX($E$28-1,0)*MAX(0,1-(20-$E$28)/$E$40),0)</f>
        <v/>
      </c>
      <c r="I99" s="14">
        <f>IF(AND(I$87=20,$E$40&gt;1),$E$27*(1+Supuestos!$B$5)^MAX($E$28-1,0)*MAX(0,1-(20-$E$28)/$E$40),0)</f>
        <v/>
      </c>
      <c r="J99" s="14">
        <f>IF(AND(J$87=20,$E$40&gt;1),$E$27*(1+Supuestos!$B$5)^MAX($E$28-1,0)*MAX(0,1-(20-$E$28)/$E$40),0)</f>
        <v/>
      </c>
      <c r="K99" s="14">
        <f>IF(AND(K$87=20,$E$40&gt;1),$E$27*(1+Supuestos!$B$5)^MAX($E$28-1,0)*MAX(0,1-(20-$E$28)/$E$40),0)</f>
        <v/>
      </c>
      <c r="L99" s="14">
        <f>IF(AND(L$87=20,$E$40&gt;1),$E$27*(1+Supuestos!$B$5)^MAX($E$28-1,0)*MAX(0,1-(20-$E$28)/$E$40),0)</f>
        <v/>
      </c>
      <c r="M99" s="14">
        <f>IF(AND(M$87=20,$E$40&gt;1),$E$27*(1+Supuestos!$B$5)^MAX($E$28-1,0)*MAX(0,1-(20-$E$28)/$E$40),0)</f>
        <v/>
      </c>
      <c r="N99" s="14">
        <f>IF(AND(N$87=20,$E$40&gt;1),$E$27*(1+Supuestos!$B$5)^MAX($E$28-1,0)*MAX(0,1-(20-$E$28)/$E$40),0)</f>
        <v/>
      </c>
      <c r="O99" s="14">
        <f>IF(AND(O$87=20,$E$40&gt;1),$E$27*(1+Supuestos!$B$5)^MAX($E$28-1,0)*MAX(0,1-(20-$E$28)/$E$40),0)</f>
        <v/>
      </c>
      <c r="P99" s="14">
        <f>IF(AND(P$87=20,$E$40&gt;1),$E$27*(1+Supuestos!$B$5)^MAX($E$28-1,0)*MAX(0,1-(20-$E$28)/$E$40),0)</f>
        <v/>
      </c>
      <c r="Q99" s="14">
        <f>IF(AND(Q$87=20,$E$40&gt;1),$E$27*(1+Supuestos!$B$5)^MAX($E$28-1,0)*MAX(0,1-(20-$E$28)/$E$40),0)</f>
        <v/>
      </c>
      <c r="R99" s="14">
        <f>IF(AND(R$87=20,$E$40&gt;1),$E$27*(1+Supuestos!$B$5)^MAX($E$28-1,0)*MAX(0,1-(20-$E$28)/$E$40),0)</f>
        <v/>
      </c>
      <c r="S99" s="14">
        <f>IF(AND(S$87=20,$E$40&gt;1),$E$27*(1+Supuestos!$B$5)^MAX($E$28-1,0)*MAX(0,1-(20-$E$28)/$E$40),0)</f>
        <v/>
      </c>
      <c r="T99" s="14">
        <f>IF(AND(T$87=20,$E$40&gt;1),$E$27*(1+Supuestos!$B$5)^MAX($E$28-1,0)*MAX(0,1-(20-$E$28)/$E$40),0)</f>
        <v/>
      </c>
      <c r="U99" s="14">
        <f>IF(AND(U$87=20,$E$40&gt;1),$E$27*(1+Supuestos!$B$5)^MAX($E$28-1,0)*MAX(0,1-(20-$E$28)/$E$40),0)</f>
        <v/>
      </c>
      <c r="V99" s="14">
        <f>IF(AND(V$87=20,$E$40&gt;1),$E$27*(1+Supuestos!$B$5)^MAX($E$28-1,0)*MAX(0,1-(20-$E$28)/$E$40),0)</f>
        <v/>
      </c>
      <c r="W99" s="14">
        <f>IF(AND(W$87=20,$E$40&gt;1),$E$27*(1+Supuestos!$B$5)^MAX($E$28-1,0)*MAX(0,1-(20-$E$28)/$E$40),0)</f>
        <v/>
      </c>
    </row>
    <row r="100">
      <c r="A100" s="21" t="inlineStr">
        <is>
          <t xml:space="preserve">  Inversión - fase 3</t>
        </is>
      </c>
      <c r="C100" s="14">
        <f>IF(C$87=$E$51,-$E$50*(1+Supuestos!$B$5)^MAX($E$51-1,0),0)</f>
        <v/>
      </c>
      <c r="D100" s="14">
        <f>IF(D$87=$E$51,-$E$50*(1+Supuestos!$B$5)^MAX($E$51-1,0),0)</f>
        <v/>
      </c>
      <c r="E100" s="14">
        <f>IF(E$87=$E$51,-$E$50*(1+Supuestos!$B$5)^MAX($E$51-1,0),0)</f>
        <v/>
      </c>
      <c r="F100" s="14">
        <f>IF(F$87=$E$51,-$E$50*(1+Supuestos!$B$5)^MAX($E$51-1,0),0)</f>
        <v/>
      </c>
      <c r="G100" s="14">
        <f>IF(G$87=$E$51,-$E$50*(1+Supuestos!$B$5)^MAX($E$51-1,0),0)</f>
        <v/>
      </c>
      <c r="H100" s="14">
        <f>IF(H$87=$E$51,-$E$50*(1+Supuestos!$B$5)^MAX($E$51-1,0),0)</f>
        <v/>
      </c>
      <c r="I100" s="14">
        <f>IF(I$87=$E$51,-$E$50*(1+Supuestos!$B$5)^MAX($E$51-1,0),0)</f>
        <v/>
      </c>
      <c r="J100" s="14">
        <f>IF(J$87=$E$51,-$E$50*(1+Supuestos!$B$5)^MAX($E$51-1,0),0)</f>
        <v/>
      </c>
      <c r="K100" s="14">
        <f>IF(K$87=$E$51,-$E$50*(1+Supuestos!$B$5)^MAX($E$51-1,0),0)</f>
        <v/>
      </c>
      <c r="L100" s="14">
        <f>IF(L$87=$E$51,-$E$50*(1+Supuestos!$B$5)^MAX($E$51-1,0),0)</f>
        <v/>
      </c>
      <c r="M100" s="14">
        <f>IF(M$87=$E$51,-$E$50*(1+Supuestos!$B$5)^MAX($E$51-1,0),0)</f>
        <v/>
      </c>
      <c r="N100" s="14">
        <f>IF(N$87=$E$51,-$E$50*(1+Supuestos!$B$5)^MAX($E$51-1,0),0)</f>
        <v/>
      </c>
      <c r="O100" s="14">
        <f>IF(O$87=$E$51,-$E$50*(1+Supuestos!$B$5)^MAX($E$51-1,0),0)</f>
        <v/>
      </c>
      <c r="P100" s="14">
        <f>IF(P$87=$E$51,-$E$50*(1+Supuestos!$B$5)^MAX($E$51-1,0),0)</f>
        <v/>
      </c>
      <c r="Q100" s="14">
        <f>IF(Q$87=$E$51,-$E$50*(1+Supuestos!$B$5)^MAX($E$51-1,0),0)</f>
        <v/>
      </c>
      <c r="R100" s="14">
        <f>IF(R$87=$E$51,-$E$50*(1+Supuestos!$B$5)^MAX($E$51-1,0),0)</f>
        <v/>
      </c>
      <c r="S100" s="14">
        <f>IF(S$87=$E$51,-$E$50*(1+Supuestos!$B$5)^MAX($E$51-1,0),0)</f>
        <v/>
      </c>
      <c r="T100" s="14">
        <f>IF(T$87=$E$51,-$E$50*(1+Supuestos!$B$5)^MAX($E$51-1,0),0)</f>
        <v/>
      </c>
      <c r="U100" s="14">
        <f>IF(U$87=$E$51,-$E$50*(1+Supuestos!$B$5)^MAX($E$51-1,0),0)</f>
        <v/>
      </c>
      <c r="V100" s="14">
        <f>IF(V$87=$E$51,-$E$50*(1+Supuestos!$B$5)^MAX($E$51-1,0),0)</f>
        <v/>
      </c>
      <c r="W100" s="14">
        <f>IF(W$87=$E$51,-$E$50*(1+Supuestos!$B$5)^MAX($E$51-1,0),0)</f>
        <v/>
      </c>
    </row>
    <row r="101">
      <c r="A101" s="21" t="inlineStr">
        <is>
          <t xml:space="preserve">  Ingresos cobrados - fase 3</t>
        </is>
      </c>
      <c r="C101" s="14">
        <f>IF((C$87-$E$51)&gt;=1,CHOOSE(Supuestos!$B$3,$E$52,$E$53,$E$54)*12*CHOOSE(Supuestos!$B$3,$E$55,$E$56,$E$57)*IF((C$87-$E$51)=1,$E$61,IF((C$87-$E$51)=2,$E$62,1))*(1+Supuestos!$B$5)^MAX(C$87-1,0),0)</f>
        <v/>
      </c>
      <c r="D101" s="14">
        <f>IF((D$87-$E$51)&gt;=1,CHOOSE(Supuestos!$B$3,$E$52,$E$53,$E$54)*12*CHOOSE(Supuestos!$B$3,$E$55,$E$56,$E$57)*IF((D$87-$E$51)=1,$E$61,IF((D$87-$E$51)=2,$E$62,1))*(1+Supuestos!$B$5)^MAX(D$87-1,0),0)</f>
        <v/>
      </c>
      <c r="E101" s="14">
        <f>IF((E$87-$E$51)&gt;=1,CHOOSE(Supuestos!$B$3,$E$52,$E$53,$E$54)*12*CHOOSE(Supuestos!$B$3,$E$55,$E$56,$E$57)*IF((E$87-$E$51)=1,$E$61,IF((E$87-$E$51)=2,$E$62,1))*(1+Supuestos!$B$5)^MAX(E$87-1,0),0)</f>
        <v/>
      </c>
      <c r="F101" s="14">
        <f>IF((F$87-$E$51)&gt;=1,CHOOSE(Supuestos!$B$3,$E$52,$E$53,$E$54)*12*CHOOSE(Supuestos!$B$3,$E$55,$E$56,$E$57)*IF((F$87-$E$51)=1,$E$61,IF((F$87-$E$51)=2,$E$62,1))*(1+Supuestos!$B$5)^MAX(F$87-1,0),0)</f>
        <v/>
      </c>
      <c r="G101" s="14">
        <f>IF((G$87-$E$51)&gt;=1,CHOOSE(Supuestos!$B$3,$E$52,$E$53,$E$54)*12*CHOOSE(Supuestos!$B$3,$E$55,$E$56,$E$57)*IF((G$87-$E$51)=1,$E$61,IF((G$87-$E$51)=2,$E$62,1))*(1+Supuestos!$B$5)^MAX(G$87-1,0),0)</f>
        <v/>
      </c>
      <c r="H101" s="14">
        <f>IF((H$87-$E$51)&gt;=1,CHOOSE(Supuestos!$B$3,$E$52,$E$53,$E$54)*12*CHOOSE(Supuestos!$B$3,$E$55,$E$56,$E$57)*IF((H$87-$E$51)=1,$E$61,IF((H$87-$E$51)=2,$E$62,1))*(1+Supuestos!$B$5)^MAX(H$87-1,0),0)</f>
        <v/>
      </c>
      <c r="I101" s="14">
        <f>IF((I$87-$E$51)&gt;=1,CHOOSE(Supuestos!$B$3,$E$52,$E$53,$E$54)*12*CHOOSE(Supuestos!$B$3,$E$55,$E$56,$E$57)*IF((I$87-$E$51)=1,$E$61,IF((I$87-$E$51)=2,$E$62,1))*(1+Supuestos!$B$5)^MAX(I$87-1,0),0)</f>
        <v/>
      </c>
      <c r="J101" s="14">
        <f>IF((J$87-$E$51)&gt;=1,CHOOSE(Supuestos!$B$3,$E$52,$E$53,$E$54)*12*CHOOSE(Supuestos!$B$3,$E$55,$E$56,$E$57)*IF((J$87-$E$51)=1,$E$61,IF((J$87-$E$51)=2,$E$62,1))*(1+Supuestos!$B$5)^MAX(J$87-1,0),0)</f>
        <v/>
      </c>
      <c r="K101" s="14">
        <f>IF((K$87-$E$51)&gt;=1,CHOOSE(Supuestos!$B$3,$E$52,$E$53,$E$54)*12*CHOOSE(Supuestos!$B$3,$E$55,$E$56,$E$57)*IF((K$87-$E$51)=1,$E$61,IF((K$87-$E$51)=2,$E$62,1))*(1+Supuestos!$B$5)^MAX(K$87-1,0),0)</f>
        <v/>
      </c>
      <c r="L101" s="14">
        <f>IF((L$87-$E$51)&gt;=1,CHOOSE(Supuestos!$B$3,$E$52,$E$53,$E$54)*12*CHOOSE(Supuestos!$B$3,$E$55,$E$56,$E$57)*IF((L$87-$E$51)=1,$E$61,IF((L$87-$E$51)=2,$E$62,1))*(1+Supuestos!$B$5)^MAX(L$87-1,0),0)</f>
        <v/>
      </c>
      <c r="M101" s="14">
        <f>IF((M$87-$E$51)&gt;=1,CHOOSE(Supuestos!$B$3,$E$52,$E$53,$E$54)*12*CHOOSE(Supuestos!$B$3,$E$55,$E$56,$E$57)*IF((M$87-$E$51)=1,$E$61,IF((M$87-$E$51)=2,$E$62,1))*(1+Supuestos!$B$5)^MAX(M$87-1,0),0)</f>
        <v/>
      </c>
      <c r="N101" s="14">
        <f>IF((N$87-$E$51)&gt;=1,CHOOSE(Supuestos!$B$3,$E$52,$E$53,$E$54)*12*CHOOSE(Supuestos!$B$3,$E$55,$E$56,$E$57)*IF((N$87-$E$51)=1,$E$61,IF((N$87-$E$51)=2,$E$62,1))*(1+Supuestos!$B$5)^MAX(N$87-1,0),0)</f>
        <v/>
      </c>
      <c r="O101" s="14">
        <f>IF((O$87-$E$51)&gt;=1,CHOOSE(Supuestos!$B$3,$E$52,$E$53,$E$54)*12*CHOOSE(Supuestos!$B$3,$E$55,$E$56,$E$57)*IF((O$87-$E$51)=1,$E$61,IF((O$87-$E$51)=2,$E$62,1))*(1+Supuestos!$B$5)^MAX(O$87-1,0),0)</f>
        <v/>
      </c>
      <c r="P101" s="14">
        <f>IF((P$87-$E$51)&gt;=1,CHOOSE(Supuestos!$B$3,$E$52,$E$53,$E$54)*12*CHOOSE(Supuestos!$B$3,$E$55,$E$56,$E$57)*IF((P$87-$E$51)=1,$E$61,IF((P$87-$E$51)=2,$E$62,1))*(1+Supuestos!$B$5)^MAX(P$87-1,0),0)</f>
        <v/>
      </c>
      <c r="Q101" s="14">
        <f>IF((Q$87-$E$51)&gt;=1,CHOOSE(Supuestos!$B$3,$E$52,$E$53,$E$54)*12*CHOOSE(Supuestos!$B$3,$E$55,$E$56,$E$57)*IF((Q$87-$E$51)=1,$E$61,IF((Q$87-$E$51)=2,$E$62,1))*(1+Supuestos!$B$5)^MAX(Q$87-1,0),0)</f>
        <v/>
      </c>
      <c r="R101" s="14">
        <f>IF((R$87-$E$51)&gt;=1,CHOOSE(Supuestos!$B$3,$E$52,$E$53,$E$54)*12*CHOOSE(Supuestos!$B$3,$E$55,$E$56,$E$57)*IF((R$87-$E$51)=1,$E$61,IF((R$87-$E$51)=2,$E$62,1))*(1+Supuestos!$B$5)^MAX(R$87-1,0),0)</f>
        <v/>
      </c>
      <c r="S101" s="14">
        <f>IF((S$87-$E$51)&gt;=1,CHOOSE(Supuestos!$B$3,$E$52,$E$53,$E$54)*12*CHOOSE(Supuestos!$B$3,$E$55,$E$56,$E$57)*IF((S$87-$E$51)=1,$E$61,IF((S$87-$E$51)=2,$E$62,1))*(1+Supuestos!$B$5)^MAX(S$87-1,0),0)</f>
        <v/>
      </c>
      <c r="T101" s="14">
        <f>IF((T$87-$E$51)&gt;=1,CHOOSE(Supuestos!$B$3,$E$52,$E$53,$E$54)*12*CHOOSE(Supuestos!$B$3,$E$55,$E$56,$E$57)*IF((T$87-$E$51)=1,$E$61,IF((T$87-$E$51)=2,$E$62,1))*(1+Supuestos!$B$5)^MAX(T$87-1,0),0)</f>
        <v/>
      </c>
      <c r="U101" s="14">
        <f>IF((U$87-$E$51)&gt;=1,CHOOSE(Supuestos!$B$3,$E$52,$E$53,$E$54)*12*CHOOSE(Supuestos!$B$3,$E$55,$E$56,$E$57)*IF((U$87-$E$51)=1,$E$61,IF((U$87-$E$51)=2,$E$62,1))*(1+Supuestos!$B$5)^MAX(U$87-1,0),0)</f>
        <v/>
      </c>
      <c r="V101" s="14">
        <f>IF((V$87-$E$51)&gt;=1,CHOOSE(Supuestos!$B$3,$E$52,$E$53,$E$54)*12*CHOOSE(Supuestos!$B$3,$E$55,$E$56,$E$57)*IF((V$87-$E$51)=1,$E$61,IF((V$87-$E$51)=2,$E$62,1))*(1+Supuestos!$B$5)^MAX(V$87-1,0),0)</f>
        <v/>
      </c>
      <c r="W101" s="14">
        <f>IF((W$87-$E$51)&gt;=1,CHOOSE(Supuestos!$B$3,$E$52,$E$53,$E$54)*12*CHOOSE(Supuestos!$B$3,$E$55,$E$56,$E$57)*IF((W$87-$E$51)=1,$E$61,IF((W$87-$E$51)=2,$E$62,1))*(1+Supuestos!$B$5)^MAX(W$87-1,0),0)</f>
        <v/>
      </c>
    </row>
    <row r="102">
      <c r="A102" s="21" t="inlineStr">
        <is>
          <t xml:space="preserve">  Gastos - fase 3</t>
        </is>
      </c>
      <c r="C102" s="14">
        <f>IF((C$87-$E$51)&gt;=1,-$E$58*(1+Supuestos!$B$5)^MAX(C$87-1,0)-$E$59*C101,0)</f>
        <v/>
      </c>
      <c r="D102" s="14">
        <f>IF((D$87-$E$51)&gt;=1,-$E$58*(1+Supuestos!$B$5)^MAX(D$87-1,0)-$E$59*D101,0)</f>
        <v/>
      </c>
      <c r="E102" s="14">
        <f>IF((E$87-$E$51)&gt;=1,-$E$58*(1+Supuestos!$B$5)^MAX(E$87-1,0)-$E$59*E101,0)</f>
        <v/>
      </c>
      <c r="F102" s="14">
        <f>IF((F$87-$E$51)&gt;=1,-$E$58*(1+Supuestos!$B$5)^MAX(F$87-1,0)-$E$59*F101,0)</f>
        <v/>
      </c>
      <c r="G102" s="14">
        <f>IF((G$87-$E$51)&gt;=1,-$E$58*(1+Supuestos!$B$5)^MAX(G$87-1,0)-$E$59*G101,0)</f>
        <v/>
      </c>
      <c r="H102" s="14">
        <f>IF((H$87-$E$51)&gt;=1,-$E$58*(1+Supuestos!$B$5)^MAX(H$87-1,0)-$E$59*H101,0)</f>
        <v/>
      </c>
      <c r="I102" s="14">
        <f>IF((I$87-$E$51)&gt;=1,-$E$58*(1+Supuestos!$B$5)^MAX(I$87-1,0)-$E$59*I101,0)</f>
        <v/>
      </c>
      <c r="J102" s="14">
        <f>IF((J$87-$E$51)&gt;=1,-$E$58*(1+Supuestos!$B$5)^MAX(J$87-1,0)-$E$59*J101,0)</f>
        <v/>
      </c>
      <c r="K102" s="14">
        <f>IF((K$87-$E$51)&gt;=1,-$E$58*(1+Supuestos!$B$5)^MAX(K$87-1,0)-$E$59*K101,0)</f>
        <v/>
      </c>
      <c r="L102" s="14">
        <f>IF((L$87-$E$51)&gt;=1,-$E$58*(1+Supuestos!$B$5)^MAX(L$87-1,0)-$E$59*L101,0)</f>
        <v/>
      </c>
      <c r="M102" s="14">
        <f>IF((M$87-$E$51)&gt;=1,-$E$58*(1+Supuestos!$B$5)^MAX(M$87-1,0)-$E$59*M101,0)</f>
        <v/>
      </c>
      <c r="N102" s="14">
        <f>IF((N$87-$E$51)&gt;=1,-$E$58*(1+Supuestos!$B$5)^MAX(N$87-1,0)-$E$59*N101,0)</f>
        <v/>
      </c>
      <c r="O102" s="14">
        <f>IF((O$87-$E$51)&gt;=1,-$E$58*(1+Supuestos!$B$5)^MAX(O$87-1,0)-$E$59*O101,0)</f>
        <v/>
      </c>
      <c r="P102" s="14">
        <f>IF((P$87-$E$51)&gt;=1,-$E$58*(1+Supuestos!$B$5)^MAX(P$87-1,0)-$E$59*P101,0)</f>
        <v/>
      </c>
      <c r="Q102" s="14">
        <f>IF((Q$87-$E$51)&gt;=1,-$E$58*(1+Supuestos!$B$5)^MAX(Q$87-1,0)-$E$59*Q101,0)</f>
        <v/>
      </c>
      <c r="R102" s="14">
        <f>IF((R$87-$E$51)&gt;=1,-$E$58*(1+Supuestos!$B$5)^MAX(R$87-1,0)-$E$59*R101,0)</f>
        <v/>
      </c>
      <c r="S102" s="14">
        <f>IF((S$87-$E$51)&gt;=1,-$E$58*(1+Supuestos!$B$5)^MAX(S$87-1,0)-$E$59*S101,0)</f>
        <v/>
      </c>
      <c r="T102" s="14">
        <f>IF((T$87-$E$51)&gt;=1,-$E$58*(1+Supuestos!$B$5)^MAX(T$87-1,0)-$E$59*T101,0)</f>
        <v/>
      </c>
      <c r="U102" s="14">
        <f>IF((U$87-$E$51)&gt;=1,-$E$58*(1+Supuestos!$B$5)^MAX(U$87-1,0)-$E$59*U101,0)</f>
        <v/>
      </c>
      <c r="V102" s="14">
        <f>IF((V$87-$E$51)&gt;=1,-$E$58*(1+Supuestos!$B$5)^MAX(V$87-1,0)-$E$59*V101,0)</f>
        <v/>
      </c>
      <c r="W102" s="14">
        <f>IF((W$87-$E$51)&gt;=1,-$E$58*(1+Supuestos!$B$5)^MAX(W$87-1,0)-$E$59*W101,0)</f>
        <v/>
      </c>
    </row>
    <row r="103">
      <c r="A103" s="21" t="inlineStr">
        <is>
          <t xml:space="preserve">  Impuestos - fase 3</t>
        </is>
      </c>
      <c r="C103" s="14">
        <f>-$E$60*C101</f>
        <v/>
      </c>
      <c r="D103" s="14">
        <f>-$E$60*D101</f>
        <v/>
      </c>
      <c r="E103" s="14">
        <f>-$E$60*E101</f>
        <v/>
      </c>
      <c r="F103" s="14">
        <f>-$E$60*F101</f>
        <v/>
      </c>
      <c r="G103" s="14">
        <f>-$E$60*G101</f>
        <v/>
      </c>
      <c r="H103" s="14">
        <f>-$E$60*H101</f>
        <v/>
      </c>
      <c r="I103" s="14">
        <f>-$E$60*I101</f>
        <v/>
      </c>
      <c r="J103" s="14">
        <f>-$E$60*J101</f>
        <v/>
      </c>
      <c r="K103" s="14">
        <f>-$E$60*K101</f>
        <v/>
      </c>
      <c r="L103" s="14">
        <f>-$E$60*L101</f>
        <v/>
      </c>
      <c r="M103" s="14">
        <f>-$E$60*M101</f>
        <v/>
      </c>
      <c r="N103" s="14">
        <f>-$E$60*N101</f>
        <v/>
      </c>
      <c r="O103" s="14">
        <f>-$E$60*O101</f>
        <v/>
      </c>
      <c r="P103" s="14">
        <f>-$E$60*P101</f>
        <v/>
      </c>
      <c r="Q103" s="14">
        <f>-$E$60*Q101</f>
        <v/>
      </c>
      <c r="R103" s="14">
        <f>-$E$60*R101</f>
        <v/>
      </c>
      <c r="S103" s="14">
        <f>-$E$60*S101</f>
        <v/>
      </c>
      <c r="T103" s="14">
        <f>-$E$60*T101</f>
        <v/>
      </c>
      <c r="U103" s="14">
        <f>-$E$60*U101</f>
        <v/>
      </c>
      <c r="V103" s="14">
        <f>-$E$60*V101</f>
        <v/>
      </c>
      <c r="W103" s="14">
        <f>-$E$60*W101</f>
        <v/>
      </c>
    </row>
    <row r="104">
      <c r="A104" s="21" t="inlineStr">
        <is>
          <t xml:space="preserve">  Reposiciones - fase 3</t>
        </is>
      </c>
      <c r="C104" s="14">
        <f>IF((C$87-$E$51)=$E$64,-$E$65*(1+Supuestos!$B$5)^MAX(C$87-1,0)*Supuestos!$B$22,0)</f>
        <v/>
      </c>
      <c r="D104" s="14">
        <f>IF((D$87-$E$51)=$E$64,-$E$65*(1+Supuestos!$B$5)^MAX(D$87-1,0)*Supuestos!$B$22,0)</f>
        <v/>
      </c>
      <c r="E104" s="14">
        <f>IF((E$87-$E$51)=$E$64,-$E$65*(1+Supuestos!$B$5)^MAX(E$87-1,0)*Supuestos!$B$22,0)</f>
        <v/>
      </c>
      <c r="F104" s="14">
        <f>IF((F$87-$E$51)=$E$64,-$E$65*(1+Supuestos!$B$5)^MAX(F$87-1,0)*Supuestos!$B$22,0)</f>
        <v/>
      </c>
      <c r="G104" s="14">
        <f>IF((G$87-$E$51)=$E$64,-$E$65*(1+Supuestos!$B$5)^MAX(G$87-1,0)*Supuestos!$B$22,0)</f>
        <v/>
      </c>
      <c r="H104" s="14">
        <f>IF((H$87-$E$51)=$E$64,-$E$65*(1+Supuestos!$B$5)^MAX(H$87-1,0)*Supuestos!$B$22,0)</f>
        <v/>
      </c>
      <c r="I104" s="14">
        <f>IF((I$87-$E$51)=$E$64,-$E$65*(1+Supuestos!$B$5)^MAX(I$87-1,0)*Supuestos!$B$22,0)</f>
        <v/>
      </c>
      <c r="J104" s="14">
        <f>IF((J$87-$E$51)=$E$64,-$E$65*(1+Supuestos!$B$5)^MAX(J$87-1,0)*Supuestos!$B$22,0)</f>
        <v/>
      </c>
      <c r="K104" s="14">
        <f>IF((K$87-$E$51)=$E$64,-$E$65*(1+Supuestos!$B$5)^MAX(K$87-1,0)*Supuestos!$B$22,0)</f>
        <v/>
      </c>
      <c r="L104" s="14">
        <f>IF((L$87-$E$51)=$E$64,-$E$65*(1+Supuestos!$B$5)^MAX(L$87-1,0)*Supuestos!$B$22,0)</f>
        <v/>
      </c>
      <c r="M104" s="14">
        <f>IF((M$87-$E$51)=$E$64,-$E$65*(1+Supuestos!$B$5)^MAX(M$87-1,0)*Supuestos!$B$22,0)</f>
        <v/>
      </c>
      <c r="N104" s="14">
        <f>IF((N$87-$E$51)=$E$64,-$E$65*(1+Supuestos!$B$5)^MAX(N$87-1,0)*Supuestos!$B$22,0)</f>
        <v/>
      </c>
      <c r="O104" s="14">
        <f>IF((O$87-$E$51)=$E$64,-$E$65*(1+Supuestos!$B$5)^MAX(O$87-1,0)*Supuestos!$B$22,0)</f>
        <v/>
      </c>
      <c r="P104" s="14">
        <f>IF((P$87-$E$51)=$E$64,-$E$65*(1+Supuestos!$B$5)^MAX(P$87-1,0)*Supuestos!$B$22,0)</f>
        <v/>
      </c>
      <c r="Q104" s="14">
        <f>IF((Q$87-$E$51)=$E$64,-$E$65*(1+Supuestos!$B$5)^MAX(Q$87-1,0)*Supuestos!$B$22,0)</f>
        <v/>
      </c>
      <c r="R104" s="14">
        <f>IF((R$87-$E$51)=$E$64,-$E$65*(1+Supuestos!$B$5)^MAX(R$87-1,0)*Supuestos!$B$22,0)</f>
        <v/>
      </c>
      <c r="S104" s="14">
        <f>IF((S$87-$E$51)=$E$64,-$E$65*(1+Supuestos!$B$5)^MAX(S$87-1,0)*Supuestos!$B$22,0)</f>
        <v/>
      </c>
      <c r="T104" s="14">
        <f>IF((T$87-$E$51)=$E$64,-$E$65*(1+Supuestos!$B$5)^MAX(T$87-1,0)*Supuestos!$B$22,0)</f>
        <v/>
      </c>
      <c r="U104" s="14">
        <f>IF((U$87-$E$51)=$E$64,-$E$65*(1+Supuestos!$B$5)^MAX(U$87-1,0)*Supuestos!$B$22,0)</f>
        <v/>
      </c>
      <c r="V104" s="14">
        <f>IF((V$87-$E$51)=$E$64,-$E$65*(1+Supuestos!$B$5)^MAX(V$87-1,0)*Supuestos!$B$22,0)</f>
        <v/>
      </c>
      <c r="W104" s="14">
        <f>IF((W$87-$E$51)=$E$64,-$E$65*(1+Supuestos!$B$5)^MAX(W$87-1,0)*Supuestos!$B$22,0)</f>
        <v/>
      </c>
    </row>
    <row r="105">
      <c r="A105" s="21" t="inlineStr">
        <is>
          <t xml:space="preserve">  Valor residual (año 20) - fase 3</t>
        </is>
      </c>
      <c r="C105" s="14">
        <f>IF(AND(C$87=20,$E$63&gt;1),$E$50*(1+Supuestos!$B$5)^MAX($E$51-1,0)*MAX(0,1-(20-$E$51)/$E$63),0)</f>
        <v/>
      </c>
      <c r="D105" s="14">
        <f>IF(AND(D$87=20,$E$63&gt;1),$E$50*(1+Supuestos!$B$5)^MAX($E$51-1,0)*MAX(0,1-(20-$E$51)/$E$63),0)</f>
        <v/>
      </c>
      <c r="E105" s="14">
        <f>IF(AND(E$87=20,$E$63&gt;1),$E$50*(1+Supuestos!$B$5)^MAX($E$51-1,0)*MAX(0,1-(20-$E$51)/$E$63),0)</f>
        <v/>
      </c>
      <c r="F105" s="14">
        <f>IF(AND(F$87=20,$E$63&gt;1),$E$50*(1+Supuestos!$B$5)^MAX($E$51-1,0)*MAX(0,1-(20-$E$51)/$E$63),0)</f>
        <v/>
      </c>
      <c r="G105" s="14">
        <f>IF(AND(G$87=20,$E$63&gt;1),$E$50*(1+Supuestos!$B$5)^MAX($E$51-1,0)*MAX(0,1-(20-$E$51)/$E$63),0)</f>
        <v/>
      </c>
      <c r="H105" s="14">
        <f>IF(AND(H$87=20,$E$63&gt;1),$E$50*(1+Supuestos!$B$5)^MAX($E$51-1,0)*MAX(0,1-(20-$E$51)/$E$63),0)</f>
        <v/>
      </c>
      <c r="I105" s="14">
        <f>IF(AND(I$87=20,$E$63&gt;1),$E$50*(1+Supuestos!$B$5)^MAX($E$51-1,0)*MAX(0,1-(20-$E$51)/$E$63),0)</f>
        <v/>
      </c>
      <c r="J105" s="14">
        <f>IF(AND(J$87=20,$E$63&gt;1),$E$50*(1+Supuestos!$B$5)^MAX($E$51-1,0)*MAX(0,1-(20-$E$51)/$E$63),0)</f>
        <v/>
      </c>
      <c r="K105" s="14">
        <f>IF(AND(K$87=20,$E$63&gt;1),$E$50*(1+Supuestos!$B$5)^MAX($E$51-1,0)*MAX(0,1-(20-$E$51)/$E$63),0)</f>
        <v/>
      </c>
      <c r="L105" s="14">
        <f>IF(AND(L$87=20,$E$63&gt;1),$E$50*(1+Supuestos!$B$5)^MAX($E$51-1,0)*MAX(0,1-(20-$E$51)/$E$63),0)</f>
        <v/>
      </c>
      <c r="M105" s="14">
        <f>IF(AND(M$87=20,$E$63&gt;1),$E$50*(1+Supuestos!$B$5)^MAX($E$51-1,0)*MAX(0,1-(20-$E$51)/$E$63),0)</f>
        <v/>
      </c>
      <c r="N105" s="14">
        <f>IF(AND(N$87=20,$E$63&gt;1),$E$50*(1+Supuestos!$B$5)^MAX($E$51-1,0)*MAX(0,1-(20-$E$51)/$E$63),0)</f>
        <v/>
      </c>
      <c r="O105" s="14">
        <f>IF(AND(O$87=20,$E$63&gt;1),$E$50*(1+Supuestos!$B$5)^MAX($E$51-1,0)*MAX(0,1-(20-$E$51)/$E$63),0)</f>
        <v/>
      </c>
      <c r="P105" s="14">
        <f>IF(AND(P$87=20,$E$63&gt;1),$E$50*(1+Supuestos!$B$5)^MAX($E$51-1,0)*MAX(0,1-(20-$E$51)/$E$63),0)</f>
        <v/>
      </c>
      <c r="Q105" s="14">
        <f>IF(AND(Q$87=20,$E$63&gt;1),$E$50*(1+Supuestos!$B$5)^MAX($E$51-1,0)*MAX(0,1-(20-$E$51)/$E$63),0)</f>
        <v/>
      </c>
      <c r="R105" s="14">
        <f>IF(AND(R$87=20,$E$63&gt;1),$E$50*(1+Supuestos!$B$5)^MAX($E$51-1,0)*MAX(0,1-(20-$E$51)/$E$63),0)</f>
        <v/>
      </c>
      <c r="S105" s="14">
        <f>IF(AND(S$87=20,$E$63&gt;1),$E$50*(1+Supuestos!$B$5)^MAX($E$51-1,0)*MAX(0,1-(20-$E$51)/$E$63),0)</f>
        <v/>
      </c>
      <c r="T105" s="14">
        <f>IF(AND(T$87=20,$E$63&gt;1),$E$50*(1+Supuestos!$B$5)^MAX($E$51-1,0)*MAX(0,1-(20-$E$51)/$E$63),0)</f>
        <v/>
      </c>
      <c r="U105" s="14">
        <f>IF(AND(U$87=20,$E$63&gt;1),$E$50*(1+Supuestos!$B$5)^MAX($E$51-1,0)*MAX(0,1-(20-$E$51)/$E$63),0)</f>
        <v/>
      </c>
      <c r="V105" s="14">
        <f>IF(AND(V$87=20,$E$63&gt;1),$E$50*(1+Supuestos!$B$5)^MAX($E$51-1,0)*MAX(0,1-(20-$E$51)/$E$63),0)</f>
        <v/>
      </c>
      <c r="W105" s="14">
        <f>IF(AND(W$87=20,$E$63&gt;1),$E$50*(1+Supuestos!$B$5)^MAX($E$51-1,0)*MAX(0,1-(20-$E$51)/$E$63),0)</f>
        <v/>
      </c>
    </row>
    <row r="106">
      <c r="A106" s="21" t="inlineStr">
        <is>
          <t xml:space="preserve">  Inversión - fase 4</t>
        </is>
      </c>
      <c r="C106" s="14">
        <f>IF(C$87=$E$72,-$E$71*(1+Supuestos!$B$5)^MAX($E$72-1,0),0)</f>
        <v/>
      </c>
      <c r="D106" s="14">
        <f>IF(D$87=$E$72,-$E$71*(1+Supuestos!$B$5)^MAX($E$72-1,0),0)</f>
        <v/>
      </c>
      <c r="E106" s="14">
        <f>IF(E$87=$E$72,-$E$71*(1+Supuestos!$B$5)^MAX($E$72-1,0),0)</f>
        <v/>
      </c>
      <c r="F106" s="14">
        <f>IF(F$87=$E$72,-$E$71*(1+Supuestos!$B$5)^MAX($E$72-1,0),0)</f>
        <v/>
      </c>
      <c r="G106" s="14">
        <f>IF(G$87=$E$72,-$E$71*(1+Supuestos!$B$5)^MAX($E$72-1,0),0)</f>
        <v/>
      </c>
      <c r="H106" s="14">
        <f>IF(H$87=$E$72,-$E$71*(1+Supuestos!$B$5)^MAX($E$72-1,0),0)</f>
        <v/>
      </c>
      <c r="I106" s="14">
        <f>IF(I$87=$E$72,-$E$71*(1+Supuestos!$B$5)^MAX($E$72-1,0),0)</f>
        <v/>
      </c>
      <c r="J106" s="14">
        <f>IF(J$87=$E$72,-$E$71*(1+Supuestos!$B$5)^MAX($E$72-1,0),0)</f>
        <v/>
      </c>
      <c r="K106" s="14">
        <f>IF(K$87=$E$72,-$E$71*(1+Supuestos!$B$5)^MAX($E$72-1,0),0)</f>
        <v/>
      </c>
      <c r="L106" s="14">
        <f>IF(L$87=$E$72,-$E$71*(1+Supuestos!$B$5)^MAX($E$72-1,0),0)</f>
        <v/>
      </c>
      <c r="M106" s="14">
        <f>IF(M$87=$E$72,-$E$71*(1+Supuestos!$B$5)^MAX($E$72-1,0),0)</f>
        <v/>
      </c>
      <c r="N106" s="14">
        <f>IF(N$87=$E$72,-$E$71*(1+Supuestos!$B$5)^MAX($E$72-1,0),0)</f>
        <v/>
      </c>
      <c r="O106" s="14">
        <f>IF(O$87=$E$72,-$E$71*(1+Supuestos!$B$5)^MAX($E$72-1,0),0)</f>
        <v/>
      </c>
      <c r="P106" s="14">
        <f>IF(P$87=$E$72,-$E$71*(1+Supuestos!$B$5)^MAX($E$72-1,0),0)</f>
        <v/>
      </c>
      <c r="Q106" s="14">
        <f>IF(Q$87=$E$72,-$E$71*(1+Supuestos!$B$5)^MAX($E$72-1,0),0)</f>
        <v/>
      </c>
      <c r="R106" s="14">
        <f>IF(R$87=$E$72,-$E$71*(1+Supuestos!$B$5)^MAX($E$72-1,0),0)</f>
        <v/>
      </c>
      <c r="S106" s="14">
        <f>IF(S$87=$E$72,-$E$71*(1+Supuestos!$B$5)^MAX($E$72-1,0),0)</f>
        <v/>
      </c>
      <c r="T106" s="14">
        <f>IF(T$87=$E$72,-$E$71*(1+Supuestos!$B$5)^MAX($E$72-1,0),0)</f>
        <v/>
      </c>
      <c r="U106" s="14">
        <f>IF(U$87=$E$72,-$E$71*(1+Supuestos!$B$5)^MAX($E$72-1,0),0)</f>
        <v/>
      </c>
      <c r="V106" s="14">
        <f>IF(V$87=$E$72,-$E$71*(1+Supuestos!$B$5)^MAX($E$72-1,0),0)</f>
        <v/>
      </c>
      <c r="W106" s="14">
        <f>IF(W$87=$E$72,-$E$71*(1+Supuestos!$B$5)^MAX($E$72-1,0),0)</f>
        <v/>
      </c>
    </row>
    <row r="107">
      <c r="A107" s="21" t="inlineStr">
        <is>
          <t xml:space="preserve">  Ingresos cobrados - fase 4</t>
        </is>
      </c>
      <c r="C107" s="14">
        <f>IF((C$87-$E$72)&gt;=1,CHOOSE(Supuestos!$B$3,$E$73,$E$74,$E$75)*12*CHOOSE(Supuestos!$B$3,$E$76,$E$77,$E$78)*IF((C$87-$E$72)=1,$E$82,IF((C$87-$E$72)=2,$E$83,1))*(1+Supuestos!$B$5)^MAX(C$87-1,0),0)</f>
        <v/>
      </c>
      <c r="D107" s="14">
        <f>IF((D$87-$E$72)&gt;=1,CHOOSE(Supuestos!$B$3,$E$73,$E$74,$E$75)*12*CHOOSE(Supuestos!$B$3,$E$76,$E$77,$E$78)*IF((D$87-$E$72)=1,$E$82,IF((D$87-$E$72)=2,$E$83,1))*(1+Supuestos!$B$5)^MAX(D$87-1,0),0)</f>
        <v/>
      </c>
      <c r="E107" s="14">
        <f>IF((E$87-$E$72)&gt;=1,CHOOSE(Supuestos!$B$3,$E$73,$E$74,$E$75)*12*CHOOSE(Supuestos!$B$3,$E$76,$E$77,$E$78)*IF((E$87-$E$72)=1,$E$82,IF((E$87-$E$72)=2,$E$83,1))*(1+Supuestos!$B$5)^MAX(E$87-1,0),0)</f>
        <v/>
      </c>
      <c r="F107" s="14">
        <f>IF((F$87-$E$72)&gt;=1,CHOOSE(Supuestos!$B$3,$E$73,$E$74,$E$75)*12*CHOOSE(Supuestos!$B$3,$E$76,$E$77,$E$78)*IF((F$87-$E$72)=1,$E$82,IF((F$87-$E$72)=2,$E$83,1))*(1+Supuestos!$B$5)^MAX(F$87-1,0),0)</f>
        <v/>
      </c>
      <c r="G107" s="14">
        <f>IF((G$87-$E$72)&gt;=1,CHOOSE(Supuestos!$B$3,$E$73,$E$74,$E$75)*12*CHOOSE(Supuestos!$B$3,$E$76,$E$77,$E$78)*IF((G$87-$E$72)=1,$E$82,IF((G$87-$E$72)=2,$E$83,1))*(1+Supuestos!$B$5)^MAX(G$87-1,0),0)</f>
        <v/>
      </c>
      <c r="H107" s="14">
        <f>IF((H$87-$E$72)&gt;=1,CHOOSE(Supuestos!$B$3,$E$73,$E$74,$E$75)*12*CHOOSE(Supuestos!$B$3,$E$76,$E$77,$E$78)*IF((H$87-$E$72)=1,$E$82,IF((H$87-$E$72)=2,$E$83,1))*(1+Supuestos!$B$5)^MAX(H$87-1,0),0)</f>
        <v/>
      </c>
      <c r="I107" s="14">
        <f>IF((I$87-$E$72)&gt;=1,CHOOSE(Supuestos!$B$3,$E$73,$E$74,$E$75)*12*CHOOSE(Supuestos!$B$3,$E$76,$E$77,$E$78)*IF((I$87-$E$72)=1,$E$82,IF((I$87-$E$72)=2,$E$83,1))*(1+Supuestos!$B$5)^MAX(I$87-1,0),0)</f>
        <v/>
      </c>
      <c r="J107" s="14">
        <f>IF((J$87-$E$72)&gt;=1,CHOOSE(Supuestos!$B$3,$E$73,$E$74,$E$75)*12*CHOOSE(Supuestos!$B$3,$E$76,$E$77,$E$78)*IF((J$87-$E$72)=1,$E$82,IF((J$87-$E$72)=2,$E$83,1))*(1+Supuestos!$B$5)^MAX(J$87-1,0),0)</f>
        <v/>
      </c>
      <c r="K107" s="14">
        <f>IF((K$87-$E$72)&gt;=1,CHOOSE(Supuestos!$B$3,$E$73,$E$74,$E$75)*12*CHOOSE(Supuestos!$B$3,$E$76,$E$77,$E$78)*IF((K$87-$E$72)=1,$E$82,IF((K$87-$E$72)=2,$E$83,1))*(1+Supuestos!$B$5)^MAX(K$87-1,0),0)</f>
        <v/>
      </c>
      <c r="L107" s="14">
        <f>IF((L$87-$E$72)&gt;=1,CHOOSE(Supuestos!$B$3,$E$73,$E$74,$E$75)*12*CHOOSE(Supuestos!$B$3,$E$76,$E$77,$E$78)*IF((L$87-$E$72)=1,$E$82,IF((L$87-$E$72)=2,$E$83,1))*(1+Supuestos!$B$5)^MAX(L$87-1,0),0)</f>
        <v/>
      </c>
      <c r="M107" s="14">
        <f>IF((M$87-$E$72)&gt;=1,CHOOSE(Supuestos!$B$3,$E$73,$E$74,$E$75)*12*CHOOSE(Supuestos!$B$3,$E$76,$E$77,$E$78)*IF((M$87-$E$72)=1,$E$82,IF((M$87-$E$72)=2,$E$83,1))*(1+Supuestos!$B$5)^MAX(M$87-1,0),0)</f>
        <v/>
      </c>
      <c r="N107" s="14">
        <f>IF((N$87-$E$72)&gt;=1,CHOOSE(Supuestos!$B$3,$E$73,$E$74,$E$75)*12*CHOOSE(Supuestos!$B$3,$E$76,$E$77,$E$78)*IF((N$87-$E$72)=1,$E$82,IF((N$87-$E$72)=2,$E$83,1))*(1+Supuestos!$B$5)^MAX(N$87-1,0),0)</f>
        <v/>
      </c>
      <c r="O107" s="14">
        <f>IF((O$87-$E$72)&gt;=1,CHOOSE(Supuestos!$B$3,$E$73,$E$74,$E$75)*12*CHOOSE(Supuestos!$B$3,$E$76,$E$77,$E$78)*IF((O$87-$E$72)=1,$E$82,IF((O$87-$E$72)=2,$E$83,1))*(1+Supuestos!$B$5)^MAX(O$87-1,0),0)</f>
        <v/>
      </c>
      <c r="P107" s="14">
        <f>IF((P$87-$E$72)&gt;=1,CHOOSE(Supuestos!$B$3,$E$73,$E$74,$E$75)*12*CHOOSE(Supuestos!$B$3,$E$76,$E$77,$E$78)*IF((P$87-$E$72)=1,$E$82,IF((P$87-$E$72)=2,$E$83,1))*(1+Supuestos!$B$5)^MAX(P$87-1,0),0)</f>
        <v/>
      </c>
      <c r="Q107" s="14">
        <f>IF((Q$87-$E$72)&gt;=1,CHOOSE(Supuestos!$B$3,$E$73,$E$74,$E$75)*12*CHOOSE(Supuestos!$B$3,$E$76,$E$77,$E$78)*IF((Q$87-$E$72)=1,$E$82,IF((Q$87-$E$72)=2,$E$83,1))*(1+Supuestos!$B$5)^MAX(Q$87-1,0),0)</f>
        <v/>
      </c>
      <c r="R107" s="14">
        <f>IF((R$87-$E$72)&gt;=1,CHOOSE(Supuestos!$B$3,$E$73,$E$74,$E$75)*12*CHOOSE(Supuestos!$B$3,$E$76,$E$77,$E$78)*IF((R$87-$E$72)=1,$E$82,IF((R$87-$E$72)=2,$E$83,1))*(1+Supuestos!$B$5)^MAX(R$87-1,0),0)</f>
        <v/>
      </c>
      <c r="S107" s="14">
        <f>IF((S$87-$E$72)&gt;=1,CHOOSE(Supuestos!$B$3,$E$73,$E$74,$E$75)*12*CHOOSE(Supuestos!$B$3,$E$76,$E$77,$E$78)*IF((S$87-$E$72)=1,$E$82,IF((S$87-$E$72)=2,$E$83,1))*(1+Supuestos!$B$5)^MAX(S$87-1,0),0)</f>
        <v/>
      </c>
      <c r="T107" s="14">
        <f>IF((T$87-$E$72)&gt;=1,CHOOSE(Supuestos!$B$3,$E$73,$E$74,$E$75)*12*CHOOSE(Supuestos!$B$3,$E$76,$E$77,$E$78)*IF((T$87-$E$72)=1,$E$82,IF((T$87-$E$72)=2,$E$83,1))*(1+Supuestos!$B$5)^MAX(T$87-1,0),0)</f>
        <v/>
      </c>
      <c r="U107" s="14">
        <f>IF((U$87-$E$72)&gt;=1,CHOOSE(Supuestos!$B$3,$E$73,$E$74,$E$75)*12*CHOOSE(Supuestos!$B$3,$E$76,$E$77,$E$78)*IF((U$87-$E$72)=1,$E$82,IF((U$87-$E$72)=2,$E$83,1))*(1+Supuestos!$B$5)^MAX(U$87-1,0),0)</f>
        <v/>
      </c>
      <c r="V107" s="14">
        <f>IF((V$87-$E$72)&gt;=1,CHOOSE(Supuestos!$B$3,$E$73,$E$74,$E$75)*12*CHOOSE(Supuestos!$B$3,$E$76,$E$77,$E$78)*IF((V$87-$E$72)=1,$E$82,IF((V$87-$E$72)=2,$E$83,1))*(1+Supuestos!$B$5)^MAX(V$87-1,0),0)</f>
        <v/>
      </c>
      <c r="W107" s="14">
        <f>IF((W$87-$E$72)&gt;=1,CHOOSE(Supuestos!$B$3,$E$73,$E$74,$E$75)*12*CHOOSE(Supuestos!$B$3,$E$76,$E$77,$E$78)*IF((W$87-$E$72)=1,$E$82,IF((W$87-$E$72)=2,$E$83,1))*(1+Supuestos!$B$5)^MAX(W$87-1,0),0)</f>
        <v/>
      </c>
    </row>
    <row r="108">
      <c r="A108" s="21" t="inlineStr">
        <is>
          <t xml:space="preserve">  Gastos - fase 4</t>
        </is>
      </c>
      <c r="C108" s="14">
        <f>IF((C$87-$E$72)&gt;=1,-$E$79*(1+Supuestos!$B$5)^MAX(C$87-1,0)-$E$80*C107,0)</f>
        <v/>
      </c>
      <c r="D108" s="14">
        <f>IF((D$87-$E$72)&gt;=1,-$E$79*(1+Supuestos!$B$5)^MAX(D$87-1,0)-$E$80*D107,0)</f>
        <v/>
      </c>
      <c r="E108" s="14">
        <f>IF((E$87-$E$72)&gt;=1,-$E$79*(1+Supuestos!$B$5)^MAX(E$87-1,0)-$E$80*E107,0)</f>
        <v/>
      </c>
      <c r="F108" s="14">
        <f>IF((F$87-$E$72)&gt;=1,-$E$79*(1+Supuestos!$B$5)^MAX(F$87-1,0)-$E$80*F107,0)</f>
        <v/>
      </c>
      <c r="G108" s="14">
        <f>IF((G$87-$E$72)&gt;=1,-$E$79*(1+Supuestos!$B$5)^MAX(G$87-1,0)-$E$80*G107,0)</f>
        <v/>
      </c>
      <c r="H108" s="14">
        <f>IF((H$87-$E$72)&gt;=1,-$E$79*(1+Supuestos!$B$5)^MAX(H$87-1,0)-$E$80*H107,0)</f>
        <v/>
      </c>
      <c r="I108" s="14">
        <f>IF((I$87-$E$72)&gt;=1,-$E$79*(1+Supuestos!$B$5)^MAX(I$87-1,0)-$E$80*I107,0)</f>
        <v/>
      </c>
      <c r="J108" s="14">
        <f>IF((J$87-$E$72)&gt;=1,-$E$79*(1+Supuestos!$B$5)^MAX(J$87-1,0)-$E$80*J107,0)</f>
        <v/>
      </c>
      <c r="K108" s="14">
        <f>IF((K$87-$E$72)&gt;=1,-$E$79*(1+Supuestos!$B$5)^MAX(K$87-1,0)-$E$80*K107,0)</f>
        <v/>
      </c>
      <c r="L108" s="14">
        <f>IF((L$87-$E$72)&gt;=1,-$E$79*(1+Supuestos!$B$5)^MAX(L$87-1,0)-$E$80*L107,0)</f>
        <v/>
      </c>
      <c r="M108" s="14">
        <f>IF((M$87-$E$72)&gt;=1,-$E$79*(1+Supuestos!$B$5)^MAX(M$87-1,0)-$E$80*M107,0)</f>
        <v/>
      </c>
      <c r="N108" s="14">
        <f>IF((N$87-$E$72)&gt;=1,-$E$79*(1+Supuestos!$B$5)^MAX(N$87-1,0)-$E$80*N107,0)</f>
        <v/>
      </c>
      <c r="O108" s="14">
        <f>IF((O$87-$E$72)&gt;=1,-$E$79*(1+Supuestos!$B$5)^MAX(O$87-1,0)-$E$80*O107,0)</f>
        <v/>
      </c>
      <c r="P108" s="14">
        <f>IF((P$87-$E$72)&gt;=1,-$E$79*(1+Supuestos!$B$5)^MAX(P$87-1,0)-$E$80*P107,0)</f>
        <v/>
      </c>
      <c r="Q108" s="14">
        <f>IF((Q$87-$E$72)&gt;=1,-$E$79*(1+Supuestos!$B$5)^MAX(Q$87-1,0)-$E$80*Q107,0)</f>
        <v/>
      </c>
      <c r="R108" s="14">
        <f>IF((R$87-$E$72)&gt;=1,-$E$79*(1+Supuestos!$B$5)^MAX(R$87-1,0)-$E$80*R107,0)</f>
        <v/>
      </c>
      <c r="S108" s="14">
        <f>IF((S$87-$E$72)&gt;=1,-$E$79*(1+Supuestos!$B$5)^MAX(S$87-1,0)-$E$80*S107,0)</f>
        <v/>
      </c>
      <c r="T108" s="14">
        <f>IF((T$87-$E$72)&gt;=1,-$E$79*(1+Supuestos!$B$5)^MAX(T$87-1,0)-$E$80*T107,0)</f>
        <v/>
      </c>
      <c r="U108" s="14">
        <f>IF((U$87-$E$72)&gt;=1,-$E$79*(1+Supuestos!$B$5)^MAX(U$87-1,0)-$E$80*U107,0)</f>
        <v/>
      </c>
      <c r="V108" s="14">
        <f>IF((V$87-$E$72)&gt;=1,-$E$79*(1+Supuestos!$B$5)^MAX(V$87-1,0)-$E$80*V107,0)</f>
        <v/>
      </c>
      <c r="W108" s="14">
        <f>IF((W$87-$E$72)&gt;=1,-$E$79*(1+Supuestos!$B$5)^MAX(W$87-1,0)-$E$80*W107,0)</f>
        <v/>
      </c>
    </row>
    <row r="109">
      <c r="A109" s="21" t="inlineStr">
        <is>
          <t xml:space="preserve">  Impuestos - fase 4</t>
        </is>
      </c>
      <c r="C109" s="14">
        <f>-$E$81*C107</f>
        <v/>
      </c>
      <c r="D109" s="14">
        <f>-$E$81*D107</f>
        <v/>
      </c>
      <c r="E109" s="14">
        <f>-$E$81*E107</f>
        <v/>
      </c>
      <c r="F109" s="14">
        <f>-$E$81*F107</f>
        <v/>
      </c>
      <c r="G109" s="14">
        <f>-$E$81*G107</f>
        <v/>
      </c>
      <c r="H109" s="14">
        <f>-$E$81*H107</f>
        <v/>
      </c>
      <c r="I109" s="14">
        <f>-$E$81*I107</f>
        <v/>
      </c>
      <c r="J109" s="14">
        <f>-$E$81*J107</f>
        <v/>
      </c>
      <c r="K109" s="14">
        <f>-$E$81*K107</f>
        <v/>
      </c>
      <c r="L109" s="14">
        <f>-$E$81*L107</f>
        <v/>
      </c>
      <c r="M109" s="14">
        <f>-$E$81*M107</f>
        <v/>
      </c>
      <c r="N109" s="14">
        <f>-$E$81*N107</f>
        <v/>
      </c>
      <c r="O109" s="14">
        <f>-$E$81*O107</f>
        <v/>
      </c>
      <c r="P109" s="14">
        <f>-$E$81*P107</f>
        <v/>
      </c>
      <c r="Q109" s="14">
        <f>-$E$81*Q107</f>
        <v/>
      </c>
      <c r="R109" s="14">
        <f>-$E$81*R107</f>
        <v/>
      </c>
      <c r="S109" s="14">
        <f>-$E$81*S107</f>
        <v/>
      </c>
      <c r="T109" s="14">
        <f>-$E$81*T107</f>
        <v/>
      </c>
      <c r="U109" s="14">
        <f>-$E$81*U107</f>
        <v/>
      </c>
      <c r="V109" s="14">
        <f>-$E$81*V107</f>
        <v/>
      </c>
      <c r="W109" s="14">
        <f>-$E$81*W107</f>
        <v/>
      </c>
    </row>
    <row r="110">
      <c r="A110" s="21" t="inlineStr">
        <is>
          <t xml:space="preserve">  Reposiciones - fase 4</t>
        </is>
      </c>
      <c r="C110" s="14">
        <f>0</f>
        <v/>
      </c>
      <c r="D110" s="14">
        <f>0</f>
        <v/>
      </c>
      <c r="E110" s="14">
        <f>0</f>
        <v/>
      </c>
      <c r="F110" s="14">
        <f>0</f>
        <v/>
      </c>
      <c r="G110" s="14">
        <f>0</f>
        <v/>
      </c>
      <c r="H110" s="14">
        <f>0</f>
        <v/>
      </c>
      <c r="I110" s="14">
        <f>0</f>
        <v/>
      </c>
      <c r="J110" s="14">
        <f>0</f>
        <v/>
      </c>
      <c r="K110" s="14">
        <f>0</f>
        <v/>
      </c>
      <c r="L110" s="14">
        <f>0</f>
        <v/>
      </c>
      <c r="M110" s="14">
        <f>0</f>
        <v/>
      </c>
      <c r="N110" s="14">
        <f>0</f>
        <v/>
      </c>
      <c r="O110" s="14">
        <f>0</f>
        <v/>
      </c>
      <c r="P110" s="14">
        <f>0</f>
        <v/>
      </c>
      <c r="Q110" s="14">
        <f>0</f>
        <v/>
      </c>
      <c r="R110" s="14">
        <f>0</f>
        <v/>
      </c>
      <c r="S110" s="14">
        <f>0</f>
        <v/>
      </c>
      <c r="T110" s="14">
        <f>0</f>
        <v/>
      </c>
      <c r="U110" s="14">
        <f>0</f>
        <v/>
      </c>
      <c r="V110" s="14">
        <f>0</f>
        <v/>
      </c>
      <c r="W110" s="14">
        <f>0</f>
        <v/>
      </c>
    </row>
    <row r="111">
      <c r="A111" s="21" t="inlineStr">
        <is>
          <t xml:space="preserve">  Valor residual (año 20) - fase 4</t>
        </is>
      </c>
      <c r="C111" s="14">
        <f>IF(AND(C$87=20,$E$84&gt;1),$E$71*(1+Supuestos!$B$5)^MAX($E$72-1,0)*MAX(0,1-(20-$E$72)/$E$84),0)</f>
        <v/>
      </c>
      <c r="D111" s="14">
        <f>IF(AND(D$87=20,$E$84&gt;1),$E$71*(1+Supuestos!$B$5)^MAX($E$72-1,0)*MAX(0,1-(20-$E$72)/$E$84),0)</f>
        <v/>
      </c>
      <c r="E111" s="14">
        <f>IF(AND(E$87=20,$E$84&gt;1),$E$71*(1+Supuestos!$B$5)^MAX($E$72-1,0)*MAX(0,1-(20-$E$72)/$E$84),0)</f>
        <v/>
      </c>
      <c r="F111" s="14">
        <f>IF(AND(F$87=20,$E$84&gt;1),$E$71*(1+Supuestos!$B$5)^MAX($E$72-1,0)*MAX(0,1-(20-$E$72)/$E$84),0)</f>
        <v/>
      </c>
      <c r="G111" s="14">
        <f>IF(AND(G$87=20,$E$84&gt;1),$E$71*(1+Supuestos!$B$5)^MAX($E$72-1,0)*MAX(0,1-(20-$E$72)/$E$84),0)</f>
        <v/>
      </c>
      <c r="H111" s="14">
        <f>IF(AND(H$87=20,$E$84&gt;1),$E$71*(1+Supuestos!$B$5)^MAX($E$72-1,0)*MAX(0,1-(20-$E$72)/$E$84),0)</f>
        <v/>
      </c>
      <c r="I111" s="14">
        <f>IF(AND(I$87=20,$E$84&gt;1),$E$71*(1+Supuestos!$B$5)^MAX($E$72-1,0)*MAX(0,1-(20-$E$72)/$E$84),0)</f>
        <v/>
      </c>
      <c r="J111" s="14">
        <f>IF(AND(J$87=20,$E$84&gt;1),$E$71*(1+Supuestos!$B$5)^MAX($E$72-1,0)*MAX(0,1-(20-$E$72)/$E$84),0)</f>
        <v/>
      </c>
      <c r="K111" s="14">
        <f>IF(AND(K$87=20,$E$84&gt;1),$E$71*(1+Supuestos!$B$5)^MAX($E$72-1,0)*MAX(0,1-(20-$E$72)/$E$84),0)</f>
        <v/>
      </c>
      <c r="L111" s="14">
        <f>IF(AND(L$87=20,$E$84&gt;1),$E$71*(1+Supuestos!$B$5)^MAX($E$72-1,0)*MAX(0,1-(20-$E$72)/$E$84),0)</f>
        <v/>
      </c>
      <c r="M111" s="14">
        <f>IF(AND(M$87=20,$E$84&gt;1),$E$71*(1+Supuestos!$B$5)^MAX($E$72-1,0)*MAX(0,1-(20-$E$72)/$E$84),0)</f>
        <v/>
      </c>
      <c r="N111" s="14">
        <f>IF(AND(N$87=20,$E$84&gt;1),$E$71*(1+Supuestos!$B$5)^MAX($E$72-1,0)*MAX(0,1-(20-$E$72)/$E$84),0)</f>
        <v/>
      </c>
      <c r="O111" s="14">
        <f>IF(AND(O$87=20,$E$84&gt;1),$E$71*(1+Supuestos!$B$5)^MAX($E$72-1,0)*MAX(0,1-(20-$E$72)/$E$84),0)</f>
        <v/>
      </c>
      <c r="P111" s="14">
        <f>IF(AND(P$87=20,$E$84&gt;1),$E$71*(1+Supuestos!$B$5)^MAX($E$72-1,0)*MAX(0,1-(20-$E$72)/$E$84),0)</f>
        <v/>
      </c>
      <c r="Q111" s="14">
        <f>IF(AND(Q$87=20,$E$84&gt;1),$E$71*(1+Supuestos!$B$5)^MAX($E$72-1,0)*MAX(0,1-(20-$E$72)/$E$84),0)</f>
        <v/>
      </c>
      <c r="R111" s="14">
        <f>IF(AND(R$87=20,$E$84&gt;1),$E$71*(1+Supuestos!$B$5)^MAX($E$72-1,0)*MAX(0,1-(20-$E$72)/$E$84),0)</f>
        <v/>
      </c>
      <c r="S111" s="14">
        <f>IF(AND(S$87=20,$E$84&gt;1),$E$71*(1+Supuestos!$B$5)^MAX($E$72-1,0)*MAX(0,1-(20-$E$72)/$E$84),0)</f>
        <v/>
      </c>
      <c r="T111" s="14">
        <f>IF(AND(T$87=20,$E$84&gt;1),$E$71*(1+Supuestos!$B$5)^MAX($E$72-1,0)*MAX(0,1-(20-$E$72)/$E$84),0)</f>
        <v/>
      </c>
      <c r="U111" s="14">
        <f>IF(AND(U$87=20,$E$84&gt;1),$E$71*(1+Supuestos!$B$5)^MAX($E$72-1,0)*MAX(0,1-(20-$E$72)/$E$84),0)</f>
        <v/>
      </c>
      <c r="V111" s="14">
        <f>IF(AND(V$87=20,$E$84&gt;1),$E$71*(1+Supuestos!$B$5)^MAX($E$72-1,0)*MAX(0,1-(20-$E$72)/$E$84),0)</f>
        <v/>
      </c>
      <c r="W111" s="14">
        <f>IF(AND(W$87=20,$E$84&gt;1),$E$71*(1+Supuestos!$B$5)^MAX($E$72-1,0)*MAX(0,1-(20-$E$72)/$E$84),0)</f>
        <v/>
      </c>
    </row>
    <row r="112">
      <c r="A112" s="7" t="inlineStr">
        <is>
          <t>Inversión</t>
        </is>
      </c>
      <c r="C112" s="22">
        <f>C88+C94+C100+C106</f>
        <v/>
      </c>
      <c r="D112" s="22">
        <f>D88+D94+D100+D106</f>
        <v/>
      </c>
      <c r="E112" s="22">
        <f>E88+E94+E100+E106</f>
        <v/>
      </c>
      <c r="F112" s="22">
        <f>F88+F94+F100+F106</f>
        <v/>
      </c>
      <c r="G112" s="22">
        <f>G88+G94+G100+G106</f>
        <v/>
      </c>
      <c r="H112" s="22">
        <f>H88+H94+H100+H106</f>
        <v/>
      </c>
      <c r="I112" s="22">
        <f>I88+I94+I100+I106</f>
        <v/>
      </c>
      <c r="J112" s="22">
        <f>J88+J94+J100+J106</f>
        <v/>
      </c>
      <c r="K112" s="22">
        <f>K88+K94+K100+K106</f>
        <v/>
      </c>
      <c r="L112" s="22">
        <f>L88+L94+L100+L106</f>
        <v/>
      </c>
      <c r="M112" s="22">
        <f>M88+M94+M100+M106</f>
        <v/>
      </c>
      <c r="N112" s="22">
        <f>N88+N94+N100+N106</f>
        <v/>
      </c>
      <c r="O112" s="22">
        <f>O88+O94+O100+O106</f>
        <v/>
      </c>
      <c r="P112" s="22">
        <f>P88+P94+P100+P106</f>
        <v/>
      </c>
      <c r="Q112" s="22">
        <f>Q88+Q94+Q100+Q106</f>
        <v/>
      </c>
      <c r="R112" s="22">
        <f>R88+R94+R100+R106</f>
        <v/>
      </c>
      <c r="S112" s="22">
        <f>S88+S94+S100+S106</f>
        <v/>
      </c>
      <c r="T112" s="22">
        <f>T88+T94+T100+T106</f>
        <v/>
      </c>
      <c r="U112" s="22">
        <f>U88+U94+U100+U106</f>
        <v/>
      </c>
      <c r="V112" s="22">
        <f>V88+V94+V100+V106</f>
        <v/>
      </c>
      <c r="W112" s="22">
        <f>W88+W94+W100+W106</f>
        <v/>
      </c>
    </row>
    <row r="113">
      <c r="A113" s="7" t="inlineStr">
        <is>
          <t>Ingresos cobrados</t>
        </is>
      </c>
      <c r="C113" s="22">
        <f>C89+C95+C101+C107</f>
        <v/>
      </c>
      <c r="D113" s="22">
        <f>D89+D95+D101+D107</f>
        <v/>
      </c>
      <c r="E113" s="22">
        <f>E89+E95+E101+E107</f>
        <v/>
      </c>
      <c r="F113" s="22">
        <f>F89+F95+F101+F107</f>
        <v/>
      </c>
      <c r="G113" s="22">
        <f>G89+G95+G101+G107</f>
        <v/>
      </c>
      <c r="H113" s="22">
        <f>H89+H95+H101+H107</f>
        <v/>
      </c>
      <c r="I113" s="22">
        <f>I89+I95+I101+I107</f>
        <v/>
      </c>
      <c r="J113" s="22">
        <f>J89+J95+J101+J107</f>
        <v/>
      </c>
      <c r="K113" s="22">
        <f>K89+K95+K101+K107</f>
        <v/>
      </c>
      <c r="L113" s="22">
        <f>L89+L95+L101+L107</f>
        <v/>
      </c>
      <c r="M113" s="22">
        <f>M89+M95+M101+M107</f>
        <v/>
      </c>
      <c r="N113" s="22">
        <f>N89+N95+N101+N107</f>
        <v/>
      </c>
      <c r="O113" s="22">
        <f>O89+O95+O101+O107</f>
        <v/>
      </c>
      <c r="P113" s="22">
        <f>P89+P95+P101+P107</f>
        <v/>
      </c>
      <c r="Q113" s="22">
        <f>Q89+Q95+Q101+Q107</f>
        <v/>
      </c>
      <c r="R113" s="22">
        <f>R89+R95+R101+R107</f>
        <v/>
      </c>
      <c r="S113" s="22">
        <f>S89+S95+S101+S107</f>
        <v/>
      </c>
      <c r="T113" s="22">
        <f>T89+T95+T101+T107</f>
        <v/>
      </c>
      <c r="U113" s="22">
        <f>U89+U95+U101+U107</f>
        <v/>
      </c>
      <c r="V113" s="22">
        <f>V89+V95+V101+V107</f>
        <v/>
      </c>
      <c r="W113" s="22">
        <f>W89+W95+W101+W107</f>
        <v/>
      </c>
    </row>
    <row r="114">
      <c r="A114" s="7" t="inlineStr">
        <is>
          <t>Gastos</t>
        </is>
      </c>
      <c r="C114" s="22">
        <f>C90+C96+C102+C108</f>
        <v/>
      </c>
      <c r="D114" s="22">
        <f>D90+D96+D102+D108</f>
        <v/>
      </c>
      <c r="E114" s="22">
        <f>E90+E96+E102+E108</f>
        <v/>
      </c>
      <c r="F114" s="22">
        <f>F90+F96+F102+F108</f>
        <v/>
      </c>
      <c r="G114" s="22">
        <f>G90+G96+G102+G108</f>
        <v/>
      </c>
      <c r="H114" s="22">
        <f>H90+H96+H102+H108</f>
        <v/>
      </c>
      <c r="I114" s="22">
        <f>I90+I96+I102+I108</f>
        <v/>
      </c>
      <c r="J114" s="22">
        <f>J90+J96+J102+J108</f>
        <v/>
      </c>
      <c r="K114" s="22">
        <f>K90+K96+K102+K108</f>
        <v/>
      </c>
      <c r="L114" s="22">
        <f>L90+L96+L102+L108</f>
        <v/>
      </c>
      <c r="M114" s="22">
        <f>M90+M96+M102+M108</f>
        <v/>
      </c>
      <c r="N114" s="22">
        <f>N90+N96+N102+N108</f>
        <v/>
      </c>
      <c r="O114" s="22">
        <f>O90+O96+O102+O108</f>
        <v/>
      </c>
      <c r="P114" s="22">
        <f>P90+P96+P102+P108</f>
        <v/>
      </c>
      <c r="Q114" s="22">
        <f>Q90+Q96+Q102+Q108</f>
        <v/>
      </c>
      <c r="R114" s="22">
        <f>R90+R96+R102+R108</f>
        <v/>
      </c>
      <c r="S114" s="22">
        <f>S90+S96+S102+S108</f>
        <v/>
      </c>
      <c r="T114" s="22">
        <f>T90+T96+T102+T108</f>
        <v/>
      </c>
      <c r="U114" s="22">
        <f>U90+U96+U102+U108</f>
        <v/>
      </c>
      <c r="V114" s="22">
        <f>V90+V96+V102+V108</f>
        <v/>
      </c>
      <c r="W114" s="22">
        <f>W90+W96+W102+W108</f>
        <v/>
      </c>
    </row>
    <row r="115">
      <c r="A115" s="7" t="inlineStr">
        <is>
          <t>Impuestos</t>
        </is>
      </c>
      <c r="C115" s="22">
        <f>C91+C97+C103+C109</f>
        <v/>
      </c>
      <c r="D115" s="22">
        <f>D91+D97+D103+D109</f>
        <v/>
      </c>
      <c r="E115" s="22">
        <f>E91+E97+E103+E109</f>
        <v/>
      </c>
      <c r="F115" s="22">
        <f>F91+F97+F103+F109</f>
        <v/>
      </c>
      <c r="G115" s="22">
        <f>G91+G97+G103+G109</f>
        <v/>
      </c>
      <c r="H115" s="22">
        <f>H91+H97+H103+H109</f>
        <v/>
      </c>
      <c r="I115" s="22">
        <f>I91+I97+I103+I109</f>
        <v/>
      </c>
      <c r="J115" s="22">
        <f>J91+J97+J103+J109</f>
        <v/>
      </c>
      <c r="K115" s="22">
        <f>K91+K97+K103+K109</f>
        <v/>
      </c>
      <c r="L115" s="22">
        <f>L91+L97+L103+L109</f>
        <v/>
      </c>
      <c r="M115" s="22">
        <f>M91+M97+M103+M109</f>
        <v/>
      </c>
      <c r="N115" s="22">
        <f>N91+N97+N103+N109</f>
        <v/>
      </c>
      <c r="O115" s="22">
        <f>O91+O97+O103+O109</f>
        <v/>
      </c>
      <c r="P115" s="22">
        <f>P91+P97+P103+P109</f>
        <v/>
      </c>
      <c r="Q115" s="22">
        <f>Q91+Q97+Q103+Q109</f>
        <v/>
      </c>
      <c r="R115" s="22">
        <f>R91+R97+R103+R109</f>
        <v/>
      </c>
      <c r="S115" s="22">
        <f>S91+S97+S103+S109</f>
        <v/>
      </c>
      <c r="T115" s="22">
        <f>T91+T97+T103+T109</f>
        <v/>
      </c>
      <c r="U115" s="22">
        <f>U91+U97+U103+U109</f>
        <v/>
      </c>
      <c r="V115" s="22">
        <f>V91+V97+V103+V109</f>
        <v/>
      </c>
      <c r="W115" s="22">
        <f>W91+W97+W103+W109</f>
        <v/>
      </c>
    </row>
    <row r="116">
      <c r="A116" s="7" t="inlineStr">
        <is>
          <t>Reposiciones</t>
        </is>
      </c>
      <c r="C116" s="22">
        <f>C92+C98+C104+C110</f>
        <v/>
      </c>
      <c r="D116" s="22">
        <f>D92+D98+D104+D110</f>
        <v/>
      </c>
      <c r="E116" s="22">
        <f>E92+E98+E104+E110</f>
        <v/>
      </c>
      <c r="F116" s="22">
        <f>F92+F98+F104+F110</f>
        <v/>
      </c>
      <c r="G116" s="22">
        <f>G92+G98+G104+G110</f>
        <v/>
      </c>
      <c r="H116" s="22">
        <f>H92+H98+H104+H110</f>
        <v/>
      </c>
      <c r="I116" s="22">
        <f>I92+I98+I104+I110</f>
        <v/>
      </c>
      <c r="J116" s="22">
        <f>J92+J98+J104+J110</f>
        <v/>
      </c>
      <c r="K116" s="22">
        <f>K92+K98+K104+K110</f>
        <v/>
      </c>
      <c r="L116" s="22">
        <f>L92+L98+L104+L110</f>
        <v/>
      </c>
      <c r="M116" s="22">
        <f>M92+M98+M104+M110</f>
        <v/>
      </c>
      <c r="N116" s="22">
        <f>N92+N98+N104+N110</f>
        <v/>
      </c>
      <c r="O116" s="22">
        <f>O92+O98+O104+O110</f>
        <v/>
      </c>
      <c r="P116" s="22">
        <f>P92+P98+P104+P110</f>
        <v/>
      </c>
      <c r="Q116" s="22">
        <f>Q92+Q98+Q104+Q110</f>
        <v/>
      </c>
      <c r="R116" s="22">
        <f>R92+R98+R104+R110</f>
        <v/>
      </c>
      <c r="S116" s="22">
        <f>S92+S98+S104+S110</f>
        <v/>
      </c>
      <c r="T116" s="22">
        <f>T92+T98+T104+T110</f>
        <v/>
      </c>
      <c r="U116" s="22">
        <f>U92+U98+U104+U110</f>
        <v/>
      </c>
      <c r="V116" s="22">
        <f>V92+V98+V104+V110</f>
        <v/>
      </c>
      <c r="W116" s="22">
        <f>W92+W98+W104+W110</f>
        <v/>
      </c>
    </row>
    <row r="117">
      <c r="A117" s="7" t="inlineStr">
        <is>
          <t>Valor residual (año 20)</t>
        </is>
      </c>
      <c r="C117" s="22">
        <f>C93+C99+C105+C111</f>
        <v/>
      </c>
      <c r="D117" s="22">
        <f>D93+D99+D105+D111</f>
        <v/>
      </c>
      <c r="E117" s="22">
        <f>E93+E99+E105+E111</f>
        <v/>
      </c>
      <c r="F117" s="22">
        <f>F93+F99+F105+F111</f>
        <v/>
      </c>
      <c r="G117" s="22">
        <f>G93+G99+G105+G111</f>
        <v/>
      </c>
      <c r="H117" s="22">
        <f>H93+H99+H105+H111</f>
        <v/>
      </c>
      <c r="I117" s="22">
        <f>I93+I99+I105+I111</f>
        <v/>
      </c>
      <c r="J117" s="22">
        <f>J93+J99+J105+J111</f>
        <v/>
      </c>
      <c r="K117" s="22">
        <f>K93+K99+K105+K111</f>
        <v/>
      </c>
      <c r="L117" s="22">
        <f>L93+L99+L105+L111</f>
        <v/>
      </c>
      <c r="M117" s="22">
        <f>M93+M99+M105+M111</f>
        <v/>
      </c>
      <c r="N117" s="22">
        <f>N93+N99+N105+N111</f>
        <v/>
      </c>
      <c r="O117" s="22">
        <f>O93+O99+O105+O111</f>
        <v/>
      </c>
      <c r="P117" s="22">
        <f>P93+P99+P105+P111</f>
        <v/>
      </c>
      <c r="Q117" s="22">
        <f>Q93+Q99+Q105+Q111</f>
        <v/>
      </c>
      <c r="R117" s="22">
        <f>R93+R99+R105+R111</f>
        <v/>
      </c>
      <c r="S117" s="22">
        <f>S93+S99+S105+S111</f>
        <v/>
      </c>
      <c r="T117" s="22">
        <f>T93+T99+T105+T111</f>
        <v/>
      </c>
      <c r="U117" s="22">
        <f>U93+U99+U105+U111</f>
        <v/>
      </c>
      <c r="V117" s="22">
        <f>V93+V99+V105+V111</f>
        <v/>
      </c>
      <c r="W117" s="22">
        <f>W93+W99+W105+W111</f>
        <v/>
      </c>
    </row>
    <row r="118">
      <c r="A118" s="7" t="inlineStr">
        <is>
          <t>FLUJO NETO</t>
        </is>
      </c>
      <c r="C118" s="8">
        <f>C112+C113+C114+C115+C116+C117</f>
        <v/>
      </c>
      <c r="D118" s="8">
        <f>D112+D113+D114+D115+D116+D117</f>
        <v/>
      </c>
      <c r="E118" s="8">
        <f>E112+E113+E114+E115+E116+E117</f>
        <v/>
      </c>
      <c r="F118" s="8">
        <f>F112+F113+F114+F115+F116+F117</f>
        <v/>
      </c>
      <c r="G118" s="8">
        <f>G112+G113+G114+G115+G116+G117</f>
        <v/>
      </c>
      <c r="H118" s="8">
        <f>H112+H113+H114+H115+H116+H117</f>
        <v/>
      </c>
      <c r="I118" s="8">
        <f>I112+I113+I114+I115+I116+I117</f>
        <v/>
      </c>
      <c r="J118" s="8">
        <f>J112+J113+J114+J115+J116+J117</f>
        <v/>
      </c>
      <c r="K118" s="8">
        <f>K112+K113+K114+K115+K116+K117</f>
        <v/>
      </c>
      <c r="L118" s="8">
        <f>L112+L113+L114+L115+L116+L117</f>
        <v/>
      </c>
      <c r="M118" s="8">
        <f>M112+M113+M114+M115+M116+M117</f>
        <v/>
      </c>
      <c r="N118" s="8">
        <f>N112+N113+N114+N115+N116+N117</f>
        <v/>
      </c>
      <c r="O118" s="8">
        <f>O112+O113+O114+O115+O116+O117</f>
        <v/>
      </c>
      <c r="P118" s="8">
        <f>P112+P113+P114+P115+P116+P117</f>
        <v/>
      </c>
      <c r="Q118" s="8">
        <f>Q112+Q113+Q114+Q115+Q116+Q117</f>
        <v/>
      </c>
      <c r="R118" s="8">
        <f>R112+R113+R114+R115+R116+R117</f>
        <v/>
      </c>
      <c r="S118" s="8">
        <f>S112+S113+S114+S115+S116+S117</f>
        <v/>
      </c>
      <c r="T118" s="8">
        <f>T112+T113+T114+T115+T116+T117</f>
        <v/>
      </c>
      <c r="U118" s="8">
        <f>U112+U113+U114+U115+U116+U117</f>
        <v/>
      </c>
      <c r="V118" s="8">
        <f>V112+V113+V114+V115+V116+V117</f>
        <v/>
      </c>
      <c r="W118" s="8">
        <f>W112+W113+W114+W115+W116+W117</f>
        <v/>
      </c>
    </row>
    <row r="119">
      <c r="A119" s="7" t="inlineStr">
        <is>
          <t>Caja acumulada (sin valor residual)</t>
        </is>
      </c>
      <c r="C119" s="14">
        <f>C118-C117</f>
        <v/>
      </c>
      <c r="D119" s="14">
        <f>C119+D118-D117</f>
        <v/>
      </c>
      <c r="E119" s="14">
        <f>D119+E118-E117</f>
        <v/>
      </c>
      <c r="F119" s="14">
        <f>E119+F118-F117</f>
        <v/>
      </c>
      <c r="G119" s="14">
        <f>F119+G118-G117</f>
        <v/>
      </c>
      <c r="H119" s="14">
        <f>G119+H118-H117</f>
        <v/>
      </c>
      <c r="I119" s="14">
        <f>H119+I118-I117</f>
        <v/>
      </c>
      <c r="J119" s="14">
        <f>I119+J118-J117</f>
        <v/>
      </c>
      <c r="K119" s="14">
        <f>J119+K118-K117</f>
        <v/>
      </c>
      <c r="L119" s="14">
        <f>K119+L118-L117</f>
        <v/>
      </c>
      <c r="M119" s="14">
        <f>L119+M118-M117</f>
        <v/>
      </c>
      <c r="N119" s="14">
        <f>M119+N118-N117</f>
        <v/>
      </c>
      <c r="O119" s="14">
        <f>N119+O118-O117</f>
        <v/>
      </c>
      <c r="P119" s="14">
        <f>O119+P118-P117</f>
        <v/>
      </c>
      <c r="Q119" s="14">
        <f>P119+Q118-Q117</f>
        <v/>
      </c>
      <c r="R119" s="14">
        <f>Q119+R118-R117</f>
        <v/>
      </c>
      <c r="S119" s="14">
        <f>R119+S118-S117</f>
        <v/>
      </c>
      <c r="T119" s="14">
        <f>S119+T118-T117</f>
        <v/>
      </c>
      <c r="U119" s="14">
        <f>T119+U118-U117</f>
        <v/>
      </c>
      <c r="V119" s="14">
        <f>U119+V118-V117</f>
        <v/>
      </c>
      <c r="W119" s="14">
        <f>V119+W118-W117</f>
        <v/>
      </c>
    </row>
    <row r="120">
      <c r="A120" s="7" t="inlineStr">
        <is>
          <t>Flujo del propietario contando el terreno (lo aporta hoy y lo recupera valorizado)</t>
        </is>
      </c>
      <c r="C120" s="14">
        <f>C118-Supuestos!$B$21</f>
        <v/>
      </c>
      <c r="D120" s="14">
        <f>D118</f>
        <v/>
      </c>
      <c r="E120" s="14">
        <f>E118</f>
        <v/>
      </c>
      <c r="F120" s="14">
        <f>F118</f>
        <v/>
      </c>
      <c r="G120" s="14">
        <f>G118</f>
        <v/>
      </c>
      <c r="H120" s="14">
        <f>H118</f>
        <v/>
      </c>
      <c r="I120" s="14">
        <f>I118</f>
        <v/>
      </c>
      <c r="J120" s="14">
        <f>J118</f>
        <v/>
      </c>
      <c r="K120" s="14">
        <f>K118</f>
        <v/>
      </c>
      <c r="L120" s="14">
        <f>L118</f>
        <v/>
      </c>
      <c r="M120" s="14">
        <f>M118</f>
        <v/>
      </c>
      <c r="N120" s="14">
        <f>N118</f>
        <v/>
      </c>
      <c r="O120" s="14">
        <f>O118</f>
        <v/>
      </c>
      <c r="P120" s="14">
        <f>P118</f>
        <v/>
      </c>
      <c r="Q120" s="14">
        <f>Q118</f>
        <v/>
      </c>
      <c r="R120" s="14">
        <f>R118</f>
        <v/>
      </c>
      <c r="S120" s="14">
        <f>S118</f>
        <v/>
      </c>
      <c r="T120" s="14">
        <f>T118</f>
        <v/>
      </c>
      <c r="U120" s="14">
        <f>U118</f>
        <v/>
      </c>
      <c r="V120" s="14">
        <f>V118</f>
        <v/>
      </c>
      <c r="W120" s="14">
        <f>W118+Supuestos!$B$21*(1+Supuestos!$B$23)^20</f>
        <v/>
      </c>
    </row>
    <row r="122">
      <c r="A122" s="7" t="inlineStr">
        <is>
          <t>Inversión total</t>
        </is>
      </c>
      <c r="C122" s="8">
        <f>-SUM(C112:W112)</f>
        <v/>
      </c>
    </row>
    <row r="123">
      <c r="A123" s="7" t="inlineStr">
        <is>
          <t>VAN al 10%</t>
        </is>
      </c>
      <c r="C123" s="8">
        <f>C118+NPV(Supuestos!$B$4,D118:W118)</f>
        <v/>
      </c>
    </row>
    <row r="124">
      <c r="A124" s="7" t="inlineStr">
        <is>
          <t>TIR</t>
        </is>
      </c>
      <c r="C124" s="23">
        <f>IFERROR(IRR(C118:W118),IFERROR(IRR(C118:W118,-0.05),"no aplica"))</f>
        <v/>
      </c>
    </row>
    <row r="125">
      <c r="A125" s="7" t="inlineStr">
        <is>
          <t>Año en que se recupera la inversión (acumulado ≥ 0)</t>
        </is>
      </c>
      <c r="C125" s="24">
        <f>IF(-SUM(C112:W112)=0,"sin inversión",IFERROR(INDEX(C87:W87,MATCH(TRUE,INDEX(C119:W119&gt;=0,0),0)),"no en 20 años"))</f>
        <v/>
      </c>
    </row>
    <row r="126">
      <c r="A126" s="7" t="inlineStr">
        <is>
          <t>Caja neta del año 5 sin inversiones (S/ nominales)</t>
        </is>
      </c>
      <c r="C126" s="8">
        <f>H118-H112</f>
        <v/>
      </c>
    </row>
    <row r="127">
      <c r="A127" s="7" t="inlineStr">
        <is>
          <t>TIR contando el terreno</t>
        </is>
      </c>
      <c r="C127" s="23">
        <f>IFERROR(IRR(C120:W120),"no aplica")</f>
        <v/>
      </c>
    </row>
  </sheetData>
  <mergeCells count="1">
    <mergeCell ref="A2:L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H. Hostal de 16 habitaciones (3 pisos)</t>
        </is>
      </c>
    </row>
    <row r="2" ht="30" customHeight="1">
      <c r="A2" s="17" t="inlineStr">
        <is>
          <t>Edificio de 3 pisos con 16 habitaciones con baño y recepción.</t>
        </is>
      </c>
    </row>
    <row r="4">
      <c r="A4" s="18" t="inlineStr">
        <is>
          <t>Fase 1: Hostal</t>
        </is>
      </c>
    </row>
    <row r="5">
      <c r="A5" s="20" t="inlineStr">
        <is>
          <t>Partida</t>
        </is>
      </c>
      <c r="B5" s="20" t="inlineStr">
        <is>
          <t>Und.</t>
        </is>
      </c>
      <c r="C5" s="20" t="inlineStr">
        <is>
          <t>Cantidad</t>
        </is>
      </c>
      <c r="D5" s="20" t="inlineStr">
        <is>
          <t>P. unitario</t>
        </is>
      </c>
      <c r="E5" s="20" t="inlineStr">
        <is>
          <t>Parcial</t>
        </is>
      </c>
    </row>
    <row r="6">
      <c r="A6" s="17" t="inlineStr">
        <is>
          <t>Edificio de 3 pisos para hostal (750 m² techados)</t>
        </is>
      </c>
      <c r="B6" t="inlineStr">
        <is>
          <t>m²</t>
        </is>
      </c>
      <c r="C6" s="5" t="n">
        <v>750</v>
      </c>
      <c r="D6" s="6" t="n">
        <v>1700</v>
      </c>
      <c r="E6" s="14">
        <f>C6*D6</f>
        <v/>
      </c>
    </row>
    <row r="7">
      <c r="A7" s="17" t="inlineStr">
        <is>
          <t>Equipamiento de habitaciones y recepción</t>
        </is>
      </c>
      <c r="B7" t="inlineStr">
        <is>
          <t>und</t>
        </is>
      </c>
      <c r="C7" s="5" t="n">
        <v>16</v>
      </c>
      <c r="D7" s="6" t="n">
        <v>6000</v>
      </c>
      <c r="E7" s="14">
        <f>C7*D7</f>
        <v/>
      </c>
    </row>
    <row r="8">
      <c r="A8" s="17" t="inlineStr">
        <is>
          <t>Expediente, licencia (Modalidad D) y categorización MINCETUR</t>
        </is>
      </c>
      <c r="B8" t="inlineStr">
        <is>
          <t>glb</t>
        </is>
      </c>
      <c r="C8" s="5" t="n">
        <v>1</v>
      </c>
      <c r="D8" s="6" t="n">
        <v>30000</v>
      </c>
      <c r="E8" s="14">
        <f>C8*D8</f>
        <v/>
      </c>
    </row>
    <row r="9">
      <c r="D9" t="inlineStr">
        <is>
          <t>Inversión (con imprevistos y factor de escenario)</t>
        </is>
      </c>
      <c r="E9" s="8">
        <f>SUM(E6:E8)*(1+Supuestos!$B$6)*Supuestos!$B$22</f>
        <v/>
      </c>
    </row>
    <row r="10">
      <c r="D10" t="inlineStr">
        <is>
          <t>Año de inversión (opera desde el año siguiente)</t>
        </is>
      </c>
      <c r="E10" s="19" t="n">
        <v>0</v>
      </c>
    </row>
    <row r="11">
      <c r="D11" t="inlineStr">
        <is>
          <t>Ingreso bruto potencial S/ por mes - pesimista</t>
        </is>
      </c>
      <c r="E11" s="6" t="n">
        <v>31200</v>
      </c>
    </row>
    <row r="12">
      <c r="D12" t="inlineStr">
        <is>
          <t>Ingreso bruto potencial S/ por mes - base</t>
        </is>
      </c>
      <c r="E12" s="6" t="n">
        <v>36000</v>
      </c>
    </row>
    <row r="13">
      <c r="D13" t="inlineStr">
        <is>
          <t>Ingreso bruto potencial S/ por mes - optimista</t>
        </is>
      </c>
      <c r="E13" s="6" t="n">
        <v>40800</v>
      </c>
    </row>
    <row r="14">
      <c r="D14" t="inlineStr">
        <is>
          <t>Ocupación cobrada - pesimista</t>
        </is>
      </c>
      <c r="E14" s="3" t="n">
        <v>0.25</v>
      </c>
    </row>
    <row r="15">
      <c r="D15" t="inlineStr">
        <is>
          <t>Ocupación cobrada - base</t>
        </is>
      </c>
      <c r="E15" s="3" t="n">
        <v>0.35</v>
      </c>
    </row>
    <row r="16">
      <c r="D16" t="inlineStr">
        <is>
          <t>Ocupación cobrada - optimista</t>
        </is>
      </c>
      <c r="E16" s="3" t="n">
        <v>0.45</v>
      </c>
    </row>
    <row r="17">
      <c r="D17" t="inlineStr">
        <is>
          <t>Gastos fijos S/ por año (personal, energía, mantenimiento, seguro, predial)</t>
        </is>
      </c>
      <c r="E17" s="6" t="n">
        <v>94436.20000000001</v>
      </c>
    </row>
    <row r="18">
      <c r="D18" t="inlineStr">
        <is>
          <t>Gastos variables (% del ingreso cobrado)</t>
        </is>
      </c>
      <c r="E18" s="3" t="n">
        <v>0.25</v>
      </c>
    </row>
    <row r="19">
      <c r="D19" t="inlineStr">
        <is>
          <t>Impuestos (% del ingreso cobrado)</t>
        </is>
      </c>
      <c r="E19" s="3" t="n">
        <v>0.15</v>
      </c>
    </row>
    <row r="20">
      <c r="D20" t="inlineStr">
        <is>
          <t>Ingreso relativo 1.er año de operación</t>
        </is>
      </c>
      <c r="E20" s="3" t="n">
        <v>0.5</v>
      </c>
    </row>
    <row r="21">
      <c r="D21" t="inlineStr">
        <is>
          <t>Ingreso relativo 2.º año de operación</t>
        </is>
      </c>
      <c r="E21" s="3" t="n">
        <v>0.8</v>
      </c>
    </row>
    <row r="22">
      <c r="D22" t="inlineStr">
        <is>
          <t>Vida útil para valor residual (años)</t>
        </is>
      </c>
      <c r="E22" s="19" t="n">
        <v>50</v>
      </c>
    </row>
    <row r="24">
      <c r="A24" s="7" t="inlineStr">
        <is>
          <t>FLUJO DE CAJA (S/ nominales)</t>
        </is>
      </c>
    </row>
    <row r="25">
      <c r="A25" s="20" t="inlineStr">
        <is>
          <t>Concepto / año</t>
        </is>
      </c>
      <c r="C25" s="20" t="n">
        <v>0</v>
      </c>
      <c r="D25" s="20" t="n">
        <v>1</v>
      </c>
      <c r="E25" s="20" t="n">
        <v>2</v>
      </c>
      <c r="F25" s="20" t="n">
        <v>3</v>
      </c>
      <c r="G25" s="20" t="n">
        <v>4</v>
      </c>
      <c r="H25" s="20" t="n">
        <v>5</v>
      </c>
      <c r="I25" s="20" t="n">
        <v>6</v>
      </c>
      <c r="J25" s="20" t="n">
        <v>7</v>
      </c>
      <c r="K25" s="20" t="n">
        <v>8</v>
      </c>
      <c r="L25" s="20" t="n">
        <v>9</v>
      </c>
      <c r="M25" s="20" t="n">
        <v>10</v>
      </c>
      <c r="N25" s="20" t="n">
        <v>11</v>
      </c>
      <c r="O25" s="20" t="n">
        <v>12</v>
      </c>
      <c r="P25" s="20" t="n">
        <v>13</v>
      </c>
      <c r="Q25" s="20" t="n">
        <v>14</v>
      </c>
      <c r="R25" s="20" t="n">
        <v>15</v>
      </c>
      <c r="S25" s="20" t="n">
        <v>16</v>
      </c>
      <c r="T25" s="20" t="n">
        <v>17</v>
      </c>
      <c r="U25" s="20" t="n">
        <v>18</v>
      </c>
      <c r="V25" s="20" t="n">
        <v>19</v>
      </c>
      <c r="W25" s="20" t="n">
        <v>20</v>
      </c>
    </row>
    <row r="26">
      <c r="A26" s="21" t="inlineStr">
        <is>
          <t xml:space="preserve">  Inversión - fase 1</t>
        </is>
      </c>
      <c r="C26" s="14">
        <f>IF(C$25=$E$10,-$E$9*(1+Supuestos!$B$5)^MAX($E$10-1,0),0)</f>
        <v/>
      </c>
      <c r="D26" s="14">
        <f>IF(D$25=$E$10,-$E$9*(1+Supuestos!$B$5)^MAX($E$10-1,0),0)</f>
        <v/>
      </c>
      <c r="E26" s="14">
        <f>IF(E$25=$E$10,-$E$9*(1+Supuestos!$B$5)^MAX($E$10-1,0),0)</f>
        <v/>
      </c>
      <c r="F26" s="14">
        <f>IF(F$25=$E$10,-$E$9*(1+Supuestos!$B$5)^MAX($E$10-1,0),0)</f>
        <v/>
      </c>
      <c r="G26" s="14">
        <f>IF(G$25=$E$10,-$E$9*(1+Supuestos!$B$5)^MAX($E$10-1,0),0)</f>
        <v/>
      </c>
      <c r="H26" s="14">
        <f>IF(H$25=$E$10,-$E$9*(1+Supuestos!$B$5)^MAX($E$10-1,0),0)</f>
        <v/>
      </c>
      <c r="I26" s="14">
        <f>IF(I$25=$E$10,-$E$9*(1+Supuestos!$B$5)^MAX($E$10-1,0),0)</f>
        <v/>
      </c>
      <c r="J26" s="14">
        <f>IF(J$25=$E$10,-$E$9*(1+Supuestos!$B$5)^MAX($E$10-1,0),0)</f>
        <v/>
      </c>
      <c r="K26" s="14">
        <f>IF(K$25=$E$10,-$E$9*(1+Supuestos!$B$5)^MAX($E$10-1,0),0)</f>
        <v/>
      </c>
      <c r="L26" s="14">
        <f>IF(L$25=$E$10,-$E$9*(1+Supuestos!$B$5)^MAX($E$10-1,0),0)</f>
        <v/>
      </c>
      <c r="M26" s="14">
        <f>IF(M$25=$E$10,-$E$9*(1+Supuestos!$B$5)^MAX($E$10-1,0),0)</f>
        <v/>
      </c>
      <c r="N26" s="14">
        <f>IF(N$25=$E$10,-$E$9*(1+Supuestos!$B$5)^MAX($E$10-1,0),0)</f>
        <v/>
      </c>
      <c r="O26" s="14">
        <f>IF(O$25=$E$10,-$E$9*(1+Supuestos!$B$5)^MAX($E$10-1,0),0)</f>
        <v/>
      </c>
      <c r="P26" s="14">
        <f>IF(P$25=$E$10,-$E$9*(1+Supuestos!$B$5)^MAX($E$10-1,0),0)</f>
        <v/>
      </c>
      <c r="Q26" s="14">
        <f>IF(Q$25=$E$10,-$E$9*(1+Supuestos!$B$5)^MAX($E$10-1,0),0)</f>
        <v/>
      </c>
      <c r="R26" s="14">
        <f>IF(R$25=$E$10,-$E$9*(1+Supuestos!$B$5)^MAX($E$10-1,0),0)</f>
        <v/>
      </c>
      <c r="S26" s="14">
        <f>IF(S$25=$E$10,-$E$9*(1+Supuestos!$B$5)^MAX($E$10-1,0),0)</f>
        <v/>
      </c>
      <c r="T26" s="14">
        <f>IF(T$25=$E$10,-$E$9*(1+Supuestos!$B$5)^MAX($E$10-1,0),0)</f>
        <v/>
      </c>
      <c r="U26" s="14">
        <f>IF(U$25=$E$10,-$E$9*(1+Supuestos!$B$5)^MAX($E$10-1,0),0)</f>
        <v/>
      </c>
      <c r="V26" s="14">
        <f>IF(V$25=$E$10,-$E$9*(1+Supuestos!$B$5)^MAX($E$10-1,0),0)</f>
        <v/>
      </c>
      <c r="W26" s="14">
        <f>IF(W$25=$E$10,-$E$9*(1+Supuestos!$B$5)^MAX($E$10-1,0),0)</f>
        <v/>
      </c>
    </row>
    <row r="27">
      <c r="A27" s="21" t="inlineStr">
        <is>
          <t xml:space="preserve">  Ingresos cobrados - fase 1</t>
        </is>
      </c>
      <c r="C27" s="14">
        <f>IF((C$25-$E$10)&gt;=1,CHOOSE(Supuestos!$B$3,$E$11,$E$12,$E$13)*12*CHOOSE(Supuestos!$B$3,$E$14,$E$15,$E$16)*IF((C$25-$E$10)=1,$E$20,IF((C$25-$E$10)=2,$E$21,1))*(1+Supuestos!$B$5)^MAX(C$25-1,0),0)</f>
        <v/>
      </c>
      <c r="D27" s="14">
        <f>IF((D$25-$E$10)&gt;=1,CHOOSE(Supuestos!$B$3,$E$11,$E$12,$E$13)*12*CHOOSE(Supuestos!$B$3,$E$14,$E$15,$E$16)*IF((D$25-$E$10)=1,$E$20,IF((D$25-$E$10)=2,$E$21,1))*(1+Supuestos!$B$5)^MAX(D$25-1,0),0)</f>
        <v/>
      </c>
      <c r="E27" s="14">
        <f>IF((E$25-$E$10)&gt;=1,CHOOSE(Supuestos!$B$3,$E$11,$E$12,$E$13)*12*CHOOSE(Supuestos!$B$3,$E$14,$E$15,$E$16)*IF((E$25-$E$10)=1,$E$20,IF((E$25-$E$10)=2,$E$21,1))*(1+Supuestos!$B$5)^MAX(E$25-1,0),0)</f>
        <v/>
      </c>
      <c r="F27" s="14">
        <f>IF((F$25-$E$10)&gt;=1,CHOOSE(Supuestos!$B$3,$E$11,$E$12,$E$13)*12*CHOOSE(Supuestos!$B$3,$E$14,$E$15,$E$16)*IF((F$25-$E$10)=1,$E$20,IF((F$25-$E$10)=2,$E$21,1))*(1+Supuestos!$B$5)^MAX(F$25-1,0),0)</f>
        <v/>
      </c>
      <c r="G27" s="14">
        <f>IF((G$25-$E$10)&gt;=1,CHOOSE(Supuestos!$B$3,$E$11,$E$12,$E$13)*12*CHOOSE(Supuestos!$B$3,$E$14,$E$15,$E$16)*IF((G$25-$E$10)=1,$E$20,IF((G$25-$E$10)=2,$E$21,1))*(1+Supuestos!$B$5)^MAX(G$25-1,0),0)</f>
        <v/>
      </c>
      <c r="H27" s="14">
        <f>IF((H$25-$E$10)&gt;=1,CHOOSE(Supuestos!$B$3,$E$11,$E$12,$E$13)*12*CHOOSE(Supuestos!$B$3,$E$14,$E$15,$E$16)*IF((H$25-$E$10)=1,$E$20,IF((H$25-$E$10)=2,$E$21,1))*(1+Supuestos!$B$5)^MAX(H$25-1,0),0)</f>
        <v/>
      </c>
      <c r="I27" s="14">
        <f>IF((I$25-$E$10)&gt;=1,CHOOSE(Supuestos!$B$3,$E$11,$E$12,$E$13)*12*CHOOSE(Supuestos!$B$3,$E$14,$E$15,$E$16)*IF((I$25-$E$10)=1,$E$20,IF((I$25-$E$10)=2,$E$21,1))*(1+Supuestos!$B$5)^MAX(I$25-1,0),0)</f>
        <v/>
      </c>
      <c r="J27" s="14">
        <f>IF((J$25-$E$10)&gt;=1,CHOOSE(Supuestos!$B$3,$E$11,$E$12,$E$13)*12*CHOOSE(Supuestos!$B$3,$E$14,$E$15,$E$16)*IF((J$25-$E$10)=1,$E$20,IF((J$25-$E$10)=2,$E$21,1))*(1+Supuestos!$B$5)^MAX(J$25-1,0),0)</f>
        <v/>
      </c>
      <c r="K27" s="14">
        <f>IF((K$25-$E$10)&gt;=1,CHOOSE(Supuestos!$B$3,$E$11,$E$12,$E$13)*12*CHOOSE(Supuestos!$B$3,$E$14,$E$15,$E$16)*IF((K$25-$E$10)=1,$E$20,IF((K$25-$E$10)=2,$E$21,1))*(1+Supuestos!$B$5)^MAX(K$25-1,0),0)</f>
        <v/>
      </c>
      <c r="L27" s="14">
        <f>IF((L$25-$E$10)&gt;=1,CHOOSE(Supuestos!$B$3,$E$11,$E$12,$E$13)*12*CHOOSE(Supuestos!$B$3,$E$14,$E$15,$E$16)*IF((L$25-$E$10)=1,$E$20,IF((L$25-$E$10)=2,$E$21,1))*(1+Supuestos!$B$5)^MAX(L$25-1,0),0)</f>
        <v/>
      </c>
      <c r="M27" s="14">
        <f>IF((M$25-$E$10)&gt;=1,CHOOSE(Supuestos!$B$3,$E$11,$E$12,$E$13)*12*CHOOSE(Supuestos!$B$3,$E$14,$E$15,$E$16)*IF((M$25-$E$10)=1,$E$20,IF((M$25-$E$10)=2,$E$21,1))*(1+Supuestos!$B$5)^MAX(M$25-1,0),0)</f>
        <v/>
      </c>
      <c r="N27" s="14">
        <f>IF((N$25-$E$10)&gt;=1,CHOOSE(Supuestos!$B$3,$E$11,$E$12,$E$13)*12*CHOOSE(Supuestos!$B$3,$E$14,$E$15,$E$16)*IF((N$25-$E$10)=1,$E$20,IF((N$25-$E$10)=2,$E$21,1))*(1+Supuestos!$B$5)^MAX(N$25-1,0),0)</f>
        <v/>
      </c>
      <c r="O27" s="14">
        <f>IF((O$25-$E$10)&gt;=1,CHOOSE(Supuestos!$B$3,$E$11,$E$12,$E$13)*12*CHOOSE(Supuestos!$B$3,$E$14,$E$15,$E$16)*IF((O$25-$E$10)=1,$E$20,IF((O$25-$E$10)=2,$E$21,1))*(1+Supuestos!$B$5)^MAX(O$25-1,0),0)</f>
        <v/>
      </c>
      <c r="P27" s="14">
        <f>IF((P$25-$E$10)&gt;=1,CHOOSE(Supuestos!$B$3,$E$11,$E$12,$E$13)*12*CHOOSE(Supuestos!$B$3,$E$14,$E$15,$E$16)*IF((P$25-$E$10)=1,$E$20,IF((P$25-$E$10)=2,$E$21,1))*(1+Supuestos!$B$5)^MAX(P$25-1,0),0)</f>
        <v/>
      </c>
      <c r="Q27" s="14">
        <f>IF((Q$25-$E$10)&gt;=1,CHOOSE(Supuestos!$B$3,$E$11,$E$12,$E$13)*12*CHOOSE(Supuestos!$B$3,$E$14,$E$15,$E$16)*IF((Q$25-$E$10)=1,$E$20,IF((Q$25-$E$10)=2,$E$21,1))*(1+Supuestos!$B$5)^MAX(Q$25-1,0),0)</f>
        <v/>
      </c>
      <c r="R27" s="14">
        <f>IF((R$25-$E$10)&gt;=1,CHOOSE(Supuestos!$B$3,$E$11,$E$12,$E$13)*12*CHOOSE(Supuestos!$B$3,$E$14,$E$15,$E$16)*IF((R$25-$E$10)=1,$E$20,IF((R$25-$E$10)=2,$E$21,1))*(1+Supuestos!$B$5)^MAX(R$25-1,0),0)</f>
        <v/>
      </c>
      <c r="S27" s="14">
        <f>IF((S$25-$E$10)&gt;=1,CHOOSE(Supuestos!$B$3,$E$11,$E$12,$E$13)*12*CHOOSE(Supuestos!$B$3,$E$14,$E$15,$E$16)*IF((S$25-$E$10)=1,$E$20,IF((S$25-$E$10)=2,$E$21,1))*(1+Supuestos!$B$5)^MAX(S$25-1,0),0)</f>
        <v/>
      </c>
      <c r="T27" s="14">
        <f>IF((T$25-$E$10)&gt;=1,CHOOSE(Supuestos!$B$3,$E$11,$E$12,$E$13)*12*CHOOSE(Supuestos!$B$3,$E$14,$E$15,$E$16)*IF((T$25-$E$10)=1,$E$20,IF((T$25-$E$10)=2,$E$21,1))*(1+Supuestos!$B$5)^MAX(T$25-1,0),0)</f>
        <v/>
      </c>
      <c r="U27" s="14">
        <f>IF((U$25-$E$10)&gt;=1,CHOOSE(Supuestos!$B$3,$E$11,$E$12,$E$13)*12*CHOOSE(Supuestos!$B$3,$E$14,$E$15,$E$16)*IF((U$25-$E$10)=1,$E$20,IF((U$25-$E$10)=2,$E$21,1))*(1+Supuestos!$B$5)^MAX(U$25-1,0),0)</f>
        <v/>
      </c>
      <c r="V27" s="14">
        <f>IF((V$25-$E$10)&gt;=1,CHOOSE(Supuestos!$B$3,$E$11,$E$12,$E$13)*12*CHOOSE(Supuestos!$B$3,$E$14,$E$15,$E$16)*IF((V$25-$E$10)=1,$E$20,IF((V$25-$E$10)=2,$E$21,1))*(1+Supuestos!$B$5)^MAX(V$25-1,0),0)</f>
        <v/>
      </c>
      <c r="W27" s="14">
        <f>IF((W$25-$E$10)&gt;=1,CHOOSE(Supuestos!$B$3,$E$11,$E$12,$E$13)*12*CHOOSE(Supuestos!$B$3,$E$14,$E$15,$E$16)*IF((W$25-$E$10)=1,$E$20,IF((W$25-$E$10)=2,$E$21,1))*(1+Supuestos!$B$5)^MAX(W$25-1,0),0)</f>
        <v/>
      </c>
    </row>
    <row r="28">
      <c r="A28" s="21" t="inlineStr">
        <is>
          <t xml:space="preserve">  Gastos - fase 1</t>
        </is>
      </c>
      <c r="C28" s="14">
        <f>IF((C$25-$E$10)&gt;=1,-$E$17*(1+Supuestos!$B$5)^MAX(C$25-1,0)-$E$18*C27,0)</f>
        <v/>
      </c>
      <c r="D28" s="14">
        <f>IF((D$25-$E$10)&gt;=1,-$E$17*(1+Supuestos!$B$5)^MAX(D$25-1,0)-$E$18*D27,0)</f>
        <v/>
      </c>
      <c r="E28" s="14">
        <f>IF((E$25-$E$10)&gt;=1,-$E$17*(1+Supuestos!$B$5)^MAX(E$25-1,0)-$E$18*E27,0)</f>
        <v/>
      </c>
      <c r="F28" s="14">
        <f>IF((F$25-$E$10)&gt;=1,-$E$17*(1+Supuestos!$B$5)^MAX(F$25-1,0)-$E$18*F27,0)</f>
        <v/>
      </c>
      <c r="G28" s="14">
        <f>IF((G$25-$E$10)&gt;=1,-$E$17*(1+Supuestos!$B$5)^MAX(G$25-1,0)-$E$18*G27,0)</f>
        <v/>
      </c>
      <c r="H28" s="14">
        <f>IF((H$25-$E$10)&gt;=1,-$E$17*(1+Supuestos!$B$5)^MAX(H$25-1,0)-$E$18*H27,0)</f>
        <v/>
      </c>
      <c r="I28" s="14">
        <f>IF((I$25-$E$10)&gt;=1,-$E$17*(1+Supuestos!$B$5)^MAX(I$25-1,0)-$E$18*I27,0)</f>
        <v/>
      </c>
      <c r="J28" s="14">
        <f>IF((J$25-$E$10)&gt;=1,-$E$17*(1+Supuestos!$B$5)^MAX(J$25-1,0)-$E$18*J27,0)</f>
        <v/>
      </c>
      <c r="K28" s="14">
        <f>IF((K$25-$E$10)&gt;=1,-$E$17*(1+Supuestos!$B$5)^MAX(K$25-1,0)-$E$18*K27,0)</f>
        <v/>
      </c>
      <c r="L28" s="14">
        <f>IF((L$25-$E$10)&gt;=1,-$E$17*(1+Supuestos!$B$5)^MAX(L$25-1,0)-$E$18*L27,0)</f>
        <v/>
      </c>
      <c r="M28" s="14">
        <f>IF((M$25-$E$10)&gt;=1,-$E$17*(1+Supuestos!$B$5)^MAX(M$25-1,0)-$E$18*M27,0)</f>
        <v/>
      </c>
      <c r="N28" s="14">
        <f>IF((N$25-$E$10)&gt;=1,-$E$17*(1+Supuestos!$B$5)^MAX(N$25-1,0)-$E$18*N27,0)</f>
        <v/>
      </c>
      <c r="O28" s="14">
        <f>IF((O$25-$E$10)&gt;=1,-$E$17*(1+Supuestos!$B$5)^MAX(O$25-1,0)-$E$18*O27,0)</f>
        <v/>
      </c>
      <c r="P28" s="14">
        <f>IF((P$25-$E$10)&gt;=1,-$E$17*(1+Supuestos!$B$5)^MAX(P$25-1,0)-$E$18*P27,0)</f>
        <v/>
      </c>
      <c r="Q28" s="14">
        <f>IF((Q$25-$E$10)&gt;=1,-$E$17*(1+Supuestos!$B$5)^MAX(Q$25-1,0)-$E$18*Q27,0)</f>
        <v/>
      </c>
      <c r="R28" s="14">
        <f>IF((R$25-$E$10)&gt;=1,-$E$17*(1+Supuestos!$B$5)^MAX(R$25-1,0)-$E$18*R27,0)</f>
        <v/>
      </c>
      <c r="S28" s="14">
        <f>IF((S$25-$E$10)&gt;=1,-$E$17*(1+Supuestos!$B$5)^MAX(S$25-1,0)-$E$18*S27,0)</f>
        <v/>
      </c>
      <c r="T28" s="14">
        <f>IF((T$25-$E$10)&gt;=1,-$E$17*(1+Supuestos!$B$5)^MAX(T$25-1,0)-$E$18*T27,0)</f>
        <v/>
      </c>
      <c r="U28" s="14">
        <f>IF((U$25-$E$10)&gt;=1,-$E$17*(1+Supuestos!$B$5)^MAX(U$25-1,0)-$E$18*U27,0)</f>
        <v/>
      </c>
      <c r="V28" s="14">
        <f>IF((V$25-$E$10)&gt;=1,-$E$17*(1+Supuestos!$B$5)^MAX(V$25-1,0)-$E$18*V27,0)</f>
        <v/>
      </c>
      <c r="W28" s="14">
        <f>IF((W$25-$E$10)&gt;=1,-$E$17*(1+Supuestos!$B$5)^MAX(W$25-1,0)-$E$18*W27,0)</f>
        <v/>
      </c>
    </row>
    <row r="29">
      <c r="A29" s="21" t="inlineStr">
        <is>
          <t xml:space="preserve">  Impuestos - fase 1</t>
        </is>
      </c>
      <c r="C29" s="14">
        <f>-$E$19*C27</f>
        <v/>
      </c>
      <c r="D29" s="14">
        <f>-$E$19*D27</f>
        <v/>
      </c>
      <c r="E29" s="14">
        <f>-$E$19*E27</f>
        <v/>
      </c>
      <c r="F29" s="14">
        <f>-$E$19*F27</f>
        <v/>
      </c>
      <c r="G29" s="14">
        <f>-$E$19*G27</f>
        <v/>
      </c>
      <c r="H29" s="14">
        <f>-$E$19*H27</f>
        <v/>
      </c>
      <c r="I29" s="14">
        <f>-$E$19*I27</f>
        <v/>
      </c>
      <c r="J29" s="14">
        <f>-$E$19*J27</f>
        <v/>
      </c>
      <c r="K29" s="14">
        <f>-$E$19*K27</f>
        <v/>
      </c>
      <c r="L29" s="14">
        <f>-$E$19*L27</f>
        <v/>
      </c>
      <c r="M29" s="14">
        <f>-$E$19*M27</f>
        <v/>
      </c>
      <c r="N29" s="14">
        <f>-$E$19*N27</f>
        <v/>
      </c>
      <c r="O29" s="14">
        <f>-$E$19*O27</f>
        <v/>
      </c>
      <c r="P29" s="14">
        <f>-$E$19*P27</f>
        <v/>
      </c>
      <c r="Q29" s="14">
        <f>-$E$19*Q27</f>
        <v/>
      </c>
      <c r="R29" s="14">
        <f>-$E$19*R27</f>
        <v/>
      </c>
      <c r="S29" s="14">
        <f>-$E$19*S27</f>
        <v/>
      </c>
      <c r="T29" s="14">
        <f>-$E$19*T27</f>
        <v/>
      </c>
      <c r="U29" s="14">
        <f>-$E$19*U27</f>
        <v/>
      </c>
      <c r="V29" s="14">
        <f>-$E$19*V27</f>
        <v/>
      </c>
      <c r="W29" s="14">
        <f>-$E$19*W27</f>
        <v/>
      </c>
    </row>
    <row r="30">
      <c r="A30" s="21" t="inlineStr">
        <is>
          <t xml:space="preserve">  Reposiciones - fase 1</t>
        </is>
      </c>
      <c r="C30" s="14">
        <f>0</f>
        <v/>
      </c>
      <c r="D30" s="14">
        <f>0</f>
        <v/>
      </c>
      <c r="E30" s="14">
        <f>0</f>
        <v/>
      </c>
      <c r="F30" s="14">
        <f>0</f>
        <v/>
      </c>
      <c r="G30" s="14">
        <f>0</f>
        <v/>
      </c>
      <c r="H30" s="14">
        <f>0</f>
        <v/>
      </c>
      <c r="I30" s="14">
        <f>0</f>
        <v/>
      </c>
      <c r="J30" s="14">
        <f>0</f>
        <v/>
      </c>
      <c r="K30" s="14">
        <f>0</f>
        <v/>
      </c>
      <c r="L30" s="14">
        <f>0</f>
        <v/>
      </c>
      <c r="M30" s="14">
        <f>0</f>
        <v/>
      </c>
      <c r="N30" s="14">
        <f>0</f>
        <v/>
      </c>
      <c r="O30" s="14">
        <f>0</f>
        <v/>
      </c>
      <c r="P30" s="14">
        <f>0</f>
        <v/>
      </c>
      <c r="Q30" s="14">
        <f>0</f>
        <v/>
      </c>
      <c r="R30" s="14">
        <f>0</f>
        <v/>
      </c>
      <c r="S30" s="14">
        <f>0</f>
        <v/>
      </c>
      <c r="T30" s="14">
        <f>0</f>
        <v/>
      </c>
      <c r="U30" s="14">
        <f>0</f>
        <v/>
      </c>
      <c r="V30" s="14">
        <f>0</f>
        <v/>
      </c>
      <c r="W30" s="14">
        <f>0</f>
        <v/>
      </c>
    </row>
    <row r="31">
      <c r="A31" s="21" t="inlineStr">
        <is>
          <t xml:space="preserve">  Valor residual (año 20) - fase 1</t>
        </is>
      </c>
      <c r="C31" s="14">
        <f>IF(AND(C$25=20,$E$22&gt;1),$E$9*(1+Supuestos!$B$5)^MAX($E$10-1,0)*MAX(0,1-(20-$E$10)/$E$22),0)</f>
        <v/>
      </c>
      <c r="D31" s="14">
        <f>IF(AND(D$25=20,$E$22&gt;1),$E$9*(1+Supuestos!$B$5)^MAX($E$10-1,0)*MAX(0,1-(20-$E$10)/$E$22),0)</f>
        <v/>
      </c>
      <c r="E31" s="14">
        <f>IF(AND(E$25=20,$E$22&gt;1),$E$9*(1+Supuestos!$B$5)^MAX($E$10-1,0)*MAX(0,1-(20-$E$10)/$E$22),0)</f>
        <v/>
      </c>
      <c r="F31" s="14">
        <f>IF(AND(F$25=20,$E$22&gt;1),$E$9*(1+Supuestos!$B$5)^MAX($E$10-1,0)*MAX(0,1-(20-$E$10)/$E$22),0)</f>
        <v/>
      </c>
      <c r="G31" s="14">
        <f>IF(AND(G$25=20,$E$22&gt;1),$E$9*(1+Supuestos!$B$5)^MAX($E$10-1,0)*MAX(0,1-(20-$E$10)/$E$22),0)</f>
        <v/>
      </c>
      <c r="H31" s="14">
        <f>IF(AND(H$25=20,$E$22&gt;1),$E$9*(1+Supuestos!$B$5)^MAX($E$10-1,0)*MAX(0,1-(20-$E$10)/$E$22),0)</f>
        <v/>
      </c>
      <c r="I31" s="14">
        <f>IF(AND(I$25=20,$E$22&gt;1),$E$9*(1+Supuestos!$B$5)^MAX($E$10-1,0)*MAX(0,1-(20-$E$10)/$E$22),0)</f>
        <v/>
      </c>
      <c r="J31" s="14">
        <f>IF(AND(J$25=20,$E$22&gt;1),$E$9*(1+Supuestos!$B$5)^MAX($E$10-1,0)*MAX(0,1-(20-$E$10)/$E$22),0)</f>
        <v/>
      </c>
      <c r="K31" s="14">
        <f>IF(AND(K$25=20,$E$22&gt;1),$E$9*(1+Supuestos!$B$5)^MAX($E$10-1,0)*MAX(0,1-(20-$E$10)/$E$22),0)</f>
        <v/>
      </c>
      <c r="L31" s="14">
        <f>IF(AND(L$25=20,$E$22&gt;1),$E$9*(1+Supuestos!$B$5)^MAX($E$10-1,0)*MAX(0,1-(20-$E$10)/$E$22),0)</f>
        <v/>
      </c>
      <c r="M31" s="14">
        <f>IF(AND(M$25=20,$E$22&gt;1),$E$9*(1+Supuestos!$B$5)^MAX($E$10-1,0)*MAX(0,1-(20-$E$10)/$E$22),0)</f>
        <v/>
      </c>
      <c r="N31" s="14">
        <f>IF(AND(N$25=20,$E$22&gt;1),$E$9*(1+Supuestos!$B$5)^MAX($E$10-1,0)*MAX(0,1-(20-$E$10)/$E$22),0)</f>
        <v/>
      </c>
      <c r="O31" s="14">
        <f>IF(AND(O$25=20,$E$22&gt;1),$E$9*(1+Supuestos!$B$5)^MAX($E$10-1,0)*MAX(0,1-(20-$E$10)/$E$22),0)</f>
        <v/>
      </c>
      <c r="P31" s="14">
        <f>IF(AND(P$25=20,$E$22&gt;1),$E$9*(1+Supuestos!$B$5)^MAX($E$10-1,0)*MAX(0,1-(20-$E$10)/$E$22),0)</f>
        <v/>
      </c>
      <c r="Q31" s="14">
        <f>IF(AND(Q$25=20,$E$22&gt;1),$E$9*(1+Supuestos!$B$5)^MAX($E$10-1,0)*MAX(0,1-(20-$E$10)/$E$22),0)</f>
        <v/>
      </c>
      <c r="R31" s="14">
        <f>IF(AND(R$25=20,$E$22&gt;1),$E$9*(1+Supuestos!$B$5)^MAX($E$10-1,0)*MAX(0,1-(20-$E$10)/$E$22),0)</f>
        <v/>
      </c>
      <c r="S31" s="14">
        <f>IF(AND(S$25=20,$E$22&gt;1),$E$9*(1+Supuestos!$B$5)^MAX($E$10-1,0)*MAX(0,1-(20-$E$10)/$E$22),0)</f>
        <v/>
      </c>
      <c r="T31" s="14">
        <f>IF(AND(T$25=20,$E$22&gt;1),$E$9*(1+Supuestos!$B$5)^MAX($E$10-1,0)*MAX(0,1-(20-$E$10)/$E$22),0)</f>
        <v/>
      </c>
      <c r="U31" s="14">
        <f>IF(AND(U$25=20,$E$22&gt;1),$E$9*(1+Supuestos!$B$5)^MAX($E$10-1,0)*MAX(0,1-(20-$E$10)/$E$22),0)</f>
        <v/>
      </c>
      <c r="V31" s="14">
        <f>IF(AND(V$25=20,$E$22&gt;1),$E$9*(1+Supuestos!$B$5)^MAX($E$10-1,0)*MAX(0,1-(20-$E$10)/$E$22),0)</f>
        <v/>
      </c>
      <c r="W31" s="14">
        <f>IF(AND(W$25=20,$E$22&gt;1),$E$9*(1+Supuestos!$B$5)^MAX($E$10-1,0)*MAX(0,1-(20-$E$10)/$E$22),0)</f>
        <v/>
      </c>
    </row>
    <row r="32">
      <c r="A32" s="7" t="inlineStr">
        <is>
          <t>Inversión</t>
        </is>
      </c>
      <c r="C32" s="22">
        <f>C26</f>
        <v/>
      </c>
      <c r="D32" s="22">
        <f>D26</f>
        <v/>
      </c>
      <c r="E32" s="22">
        <f>E26</f>
        <v/>
      </c>
      <c r="F32" s="22">
        <f>F26</f>
        <v/>
      </c>
      <c r="G32" s="22">
        <f>G26</f>
        <v/>
      </c>
      <c r="H32" s="22">
        <f>H26</f>
        <v/>
      </c>
      <c r="I32" s="22">
        <f>I26</f>
        <v/>
      </c>
      <c r="J32" s="22">
        <f>J26</f>
        <v/>
      </c>
      <c r="K32" s="22">
        <f>K26</f>
        <v/>
      </c>
      <c r="L32" s="22">
        <f>L26</f>
        <v/>
      </c>
      <c r="M32" s="22">
        <f>M26</f>
        <v/>
      </c>
      <c r="N32" s="22">
        <f>N26</f>
        <v/>
      </c>
      <c r="O32" s="22">
        <f>O26</f>
        <v/>
      </c>
      <c r="P32" s="22">
        <f>P26</f>
        <v/>
      </c>
      <c r="Q32" s="22">
        <f>Q26</f>
        <v/>
      </c>
      <c r="R32" s="22">
        <f>R26</f>
        <v/>
      </c>
      <c r="S32" s="22">
        <f>S26</f>
        <v/>
      </c>
      <c r="T32" s="22">
        <f>T26</f>
        <v/>
      </c>
      <c r="U32" s="22">
        <f>U26</f>
        <v/>
      </c>
      <c r="V32" s="22">
        <f>V26</f>
        <v/>
      </c>
      <c r="W32" s="22">
        <f>W26</f>
        <v/>
      </c>
    </row>
    <row r="33">
      <c r="A33" s="7" t="inlineStr">
        <is>
          <t>Ingresos cobrados</t>
        </is>
      </c>
      <c r="C33" s="22">
        <f>C27</f>
        <v/>
      </c>
      <c r="D33" s="22">
        <f>D27</f>
        <v/>
      </c>
      <c r="E33" s="22">
        <f>E27</f>
        <v/>
      </c>
      <c r="F33" s="22">
        <f>F27</f>
        <v/>
      </c>
      <c r="G33" s="22">
        <f>G27</f>
        <v/>
      </c>
      <c r="H33" s="22">
        <f>H27</f>
        <v/>
      </c>
      <c r="I33" s="22">
        <f>I27</f>
        <v/>
      </c>
      <c r="J33" s="22">
        <f>J27</f>
        <v/>
      </c>
      <c r="K33" s="22">
        <f>K27</f>
        <v/>
      </c>
      <c r="L33" s="22">
        <f>L27</f>
        <v/>
      </c>
      <c r="M33" s="22">
        <f>M27</f>
        <v/>
      </c>
      <c r="N33" s="22">
        <f>N27</f>
        <v/>
      </c>
      <c r="O33" s="22">
        <f>O27</f>
        <v/>
      </c>
      <c r="P33" s="22">
        <f>P27</f>
        <v/>
      </c>
      <c r="Q33" s="22">
        <f>Q27</f>
        <v/>
      </c>
      <c r="R33" s="22">
        <f>R27</f>
        <v/>
      </c>
      <c r="S33" s="22">
        <f>S27</f>
        <v/>
      </c>
      <c r="T33" s="22">
        <f>T27</f>
        <v/>
      </c>
      <c r="U33" s="22">
        <f>U27</f>
        <v/>
      </c>
      <c r="V33" s="22">
        <f>V27</f>
        <v/>
      </c>
      <c r="W33" s="22">
        <f>W27</f>
        <v/>
      </c>
    </row>
    <row r="34">
      <c r="A34" s="7" t="inlineStr">
        <is>
          <t>Gastos</t>
        </is>
      </c>
      <c r="C34" s="22">
        <f>C28</f>
        <v/>
      </c>
      <c r="D34" s="22">
        <f>D28</f>
        <v/>
      </c>
      <c r="E34" s="22">
        <f>E28</f>
        <v/>
      </c>
      <c r="F34" s="22">
        <f>F28</f>
        <v/>
      </c>
      <c r="G34" s="22">
        <f>G28</f>
        <v/>
      </c>
      <c r="H34" s="22">
        <f>H28</f>
        <v/>
      </c>
      <c r="I34" s="22">
        <f>I28</f>
        <v/>
      </c>
      <c r="J34" s="22">
        <f>J28</f>
        <v/>
      </c>
      <c r="K34" s="22">
        <f>K28</f>
        <v/>
      </c>
      <c r="L34" s="22">
        <f>L28</f>
        <v/>
      </c>
      <c r="M34" s="22">
        <f>M28</f>
        <v/>
      </c>
      <c r="N34" s="22">
        <f>N28</f>
        <v/>
      </c>
      <c r="O34" s="22">
        <f>O28</f>
        <v/>
      </c>
      <c r="P34" s="22">
        <f>P28</f>
        <v/>
      </c>
      <c r="Q34" s="22">
        <f>Q28</f>
        <v/>
      </c>
      <c r="R34" s="22">
        <f>R28</f>
        <v/>
      </c>
      <c r="S34" s="22">
        <f>S28</f>
        <v/>
      </c>
      <c r="T34" s="22">
        <f>T28</f>
        <v/>
      </c>
      <c r="U34" s="22">
        <f>U28</f>
        <v/>
      </c>
      <c r="V34" s="22">
        <f>V28</f>
        <v/>
      </c>
      <c r="W34" s="22">
        <f>W28</f>
        <v/>
      </c>
    </row>
    <row r="35">
      <c r="A35" s="7" t="inlineStr">
        <is>
          <t>Impuestos</t>
        </is>
      </c>
      <c r="C35" s="22">
        <f>C29</f>
        <v/>
      </c>
      <c r="D35" s="22">
        <f>D29</f>
        <v/>
      </c>
      <c r="E35" s="22">
        <f>E29</f>
        <v/>
      </c>
      <c r="F35" s="22">
        <f>F29</f>
        <v/>
      </c>
      <c r="G35" s="22">
        <f>G29</f>
        <v/>
      </c>
      <c r="H35" s="22">
        <f>H29</f>
        <v/>
      </c>
      <c r="I35" s="22">
        <f>I29</f>
        <v/>
      </c>
      <c r="J35" s="22">
        <f>J29</f>
        <v/>
      </c>
      <c r="K35" s="22">
        <f>K29</f>
        <v/>
      </c>
      <c r="L35" s="22">
        <f>L29</f>
        <v/>
      </c>
      <c r="M35" s="22">
        <f>M29</f>
        <v/>
      </c>
      <c r="N35" s="22">
        <f>N29</f>
        <v/>
      </c>
      <c r="O35" s="22">
        <f>O29</f>
        <v/>
      </c>
      <c r="P35" s="22">
        <f>P29</f>
        <v/>
      </c>
      <c r="Q35" s="22">
        <f>Q29</f>
        <v/>
      </c>
      <c r="R35" s="22">
        <f>R29</f>
        <v/>
      </c>
      <c r="S35" s="22">
        <f>S29</f>
        <v/>
      </c>
      <c r="T35" s="22">
        <f>T29</f>
        <v/>
      </c>
      <c r="U35" s="22">
        <f>U29</f>
        <v/>
      </c>
      <c r="V35" s="22">
        <f>V29</f>
        <v/>
      </c>
      <c r="W35" s="22">
        <f>W29</f>
        <v/>
      </c>
    </row>
    <row r="36">
      <c r="A36" s="7" t="inlineStr">
        <is>
          <t>Reposiciones</t>
        </is>
      </c>
      <c r="C36" s="22">
        <f>C30</f>
        <v/>
      </c>
      <c r="D36" s="22">
        <f>D30</f>
        <v/>
      </c>
      <c r="E36" s="22">
        <f>E30</f>
        <v/>
      </c>
      <c r="F36" s="22">
        <f>F30</f>
        <v/>
      </c>
      <c r="G36" s="22">
        <f>G30</f>
        <v/>
      </c>
      <c r="H36" s="22">
        <f>H30</f>
        <v/>
      </c>
      <c r="I36" s="22">
        <f>I30</f>
        <v/>
      </c>
      <c r="J36" s="22">
        <f>J30</f>
        <v/>
      </c>
      <c r="K36" s="22">
        <f>K30</f>
        <v/>
      </c>
      <c r="L36" s="22">
        <f>L30</f>
        <v/>
      </c>
      <c r="M36" s="22">
        <f>M30</f>
        <v/>
      </c>
      <c r="N36" s="22">
        <f>N30</f>
        <v/>
      </c>
      <c r="O36" s="22">
        <f>O30</f>
        <v/>
      </c>
      <c r="P36" s="22">
        <f>P30</f>
        <v/>
      </c>
      <c r="Q36" s="22">
        <f>Q30</f>
        <v/>
      </c>
      <c r="R36" s="22">
        <f>R30</f>
        <v/>
      </c>
      <c r="S36" s="22">
        <f>S30</f>
        <v/>
      </c>
      <c r="T36" s="22">
        <f>T30</f>
        <v/>
      </c>
      <c r="U36" s="22">
        <f>U30</f>
        <v/>
      </c>
      <c r="V36" s="22">
        <f>V30</f>
        <v/>
      </c>
      <c r="W36" s="22">
        <f>W30</f>
        <v/>
      </c>
    </row>
    <row r="37">
      <c r="A37" s="7" t="inlineStr">
        <is>
          <t>Valor residual (año 20)</t>
        </is>
      </c>
      <c r="C37" s="22">
        <f>C31</f>
        <v/>
      </c>
      <c r="D37" s="22">
        <f>D31</f>
        <v/>
      </c>
      <c r="E37" s="22">
        <f>E31</f>
        <v/>
      </c>
      <c r="F37" s="22">
        <f>F31</f>
        <v/>
      </c>
      <c r="G37" s="22">
        <f>G31</f>
        <v/>
      </c>
      <c r="H37" s="22">
        <f>H31</f>
        <v/>
      </c>
      <c r="I37" s="22">
        <f>I31</f>
        <v/>
      </c>
      <c r="J37" s="22">
        <f>J31</f>
        <v/>
      </c>
      <c r="K37" s="22">
        <f>K31</f>
        <v/>
      </c>
      <c r="L37" s="22">
        <f>L31</f>
        <v/>
      </c>
      <c r="M37" s="22">
        <f>M31</f>
        <v/>
      </c>
      <c r="N37" s="22">
        <f>N31</f>
        <v/>
      </c>
      <c r="O37" s="22">
        <f>O31</f>
        <v/>
      </c>
      <c r="P37" s="22">
        <f>P31</f>
        <v/>
      </c>
      <c r="Q37" s="22">
        <f>Q31</f>
        <v/>
      </c>
      <c r="R37" s="22">
        <f>R31</f>
        <v/>
      </c>
      <c r="S37" s="22">
        <f>S31</f>
        <v/>
      </c>
      <c r="T37" s="22">
        <f>T31</f>
        <v/>
      </c>
      <c r="U37" s="22">
        <f>U31</f>
        <v/>
      </c>
      <c r="V37" s="22">
        <f>V31</f>
        <v/>
      </c>
      <c r="W37" s="22">
        <f>W31</f>
        <v/>
      </c>
    </row>
    <row r="38">
      <c r="A38" s="7" t="inlineStr">
        <is>
          <t>FLUJO NETO</t>
        </is>
      </c>
      <c r="C38" s="8">
        <f>C32+C33+C34+C35+C36+C37</f>
        <v/>
      </c>
      <c r="D38" s="8">
        <f>D32+D33+D34+D35+D36+D37</f>
        <v/>
      </c>
      <c r="E38" s="8">
        <f>E32+E33+E34+E35+E36+E37</f>
        <v/>
      </c>
      <c r="F38" s="8">
        <f>F32+F33+F34+F35+F36+F37</f>
        <v/>
      </c>
      <c r="G38" s="8">
        <f>G32+G33+G34+G35+G36+G37</f>
        <v/>
      </c>
      <c r="H38" s="8">
        <f>H32+H33+H34+H35+H36+H37</f>
        <v/>
      </c>
      <c r="I38" s="8">
        <f>I32+I33+I34+I35+I36+I37</f>
        <v/>
      </c>
      <c r="J38" s="8">
        <f>J32+J33+J34+J35+J36+J37</f>
        <v/>
      </c>
      <c r="K38" s="8">
        <f>K32+K33+K34+K35+K36+K37</f>
        <v/>
      </c>
      <c r="L38" s="8">
        <f>L32+L33+L34+L35+L36+L37</f>
        <v/>
      </c>
      <c r="M38" s="8">
        <f>M32+M33+M34+M35+M36+M37</f>
        <v/>
      </c>
      <c r="N38" s="8">
        <f>N32+N33+N34+N35+N36+N37</f>
        <v/>
      </c>
      <c r="O38" s="8">
        <f>O32+O33+O34+O35+O36+O37</f>
        <v/>
      </c>
      <c r="P38" s="8">
        <f>P32+P33+P34+P35+P36+P37</f>
        <v/>
      </c>
      <c r="Q38" s="8">
        <f>Q32+Q33+Q34+Q35+Q36+Q37</f>
        <v/>
      </c>
      <c r="R38" s="8">
        <f>R32+R33+R34+R35+R36+R37</f>
        <v/>
      </c>
      <c r="S38" s="8">
        <f>S32+S33+S34+S35+S36+S37</f>
        <v/>
      </c>
      <c r="T38" s="8">
        <f>T32+T33+T34+T35+T36+T37</f>
        <v/>
      </c>
      <c r="U38" s="8">
        <f>U32+U33+U34+U35+U36+U37</f>
        <v/>
      </c>
      <c r="V38" s="8">
        <f>V32+V33+V34+V35+V36+V37</f>
        <v/>
      </c>
      <c r="W38" s="8">
        <f>W32+W33+W34+W35+W36+W37</f>
        <v/>
      </c>
    </row>
    <row r="39">
      <c r="A39" s="7" t="inlineStr">
        <is>
          <t>Caja acumulada (sin valor residual)</t>
        </is>
      </c>
      <c r="C39" s="14">
        <f>C38-C37</f>
        <v/>
      </c>
      <c r="D39" s="14">
        <f>C39+D38-D37</f>
        <v/>
      </c>
      <c r="E39" s="14">
        <f>D39+E38-E37</f>
        <v/>
      </c>
      <c r="F39" s="14">
        <f>E39+F38-F37</f>
        <v/>
      </c>
      <c r="G39" s="14">
        <f>F39+G38-G37</f>
        <v/>
      </c>
      <c r="H39" s="14">
        <f>G39+H38-H37</f>
        <v/>
      </c>
      <c r="I39" s="14">
        <f>H39+I38-I37</f>
        <v/>
      </c>
      <c r="J39" s="14">
        <f>I39+J38-J37</f>
        <v/>
      </c>
      <c r="K39" s="14">
        <f>J39+K38-K37</f>
        <v/>
      </c>
      <c r="L39" s="14">
        <f>K39+L38-L37</f>
        <v/>
      </c>
      <c r="M39" s="14">
        <f>L39+M38-M37</f>
        <v/>
      </c>
      <c r="N39" s="14">
        <f>M39+N38-N37</f>
        <v/>
      </c>
      <c r="O39" s="14">
        <f>N39+O38-O37</f>
        <v/>
      </c>
      <c r="P39" s="14">
        <f>O39+P38-P37</f>
        <v/>
      </c>
      <c r="Q39" s="14">
        <f>P39+Q38-Q37</f>
        <v/>
      </c>
      <c r="R39" s="14">
        <f>Q39+R38-R37</f>
        <v/>
      </c>
      <c r="S39" s="14">
        <f>R39+S38-S37</f>
        <v/>
      </c>
      <c r="T39" s="14">
        <f>S39+T38-T37</f>
        <v/>
      </c>
      <c r="U39" s="14">
        <f>T39+U38-U37</f>
        <v/>
      </c>
      <c r="V39" s="14">
        <f>U39+V38-V37</f>
        <v/>
      </c>
      <c r="W39" s="14">
        <f>V39+W38-W37</f>
        <v/>
      </c>
    </row>
    <row r="40">
      <c r="A40" s="7" t="inlineStr">
        <is>
          <t>Flujo del propietario contando el terreno (lo aporta hoy y lo recupera valorizado)</t>
        </is>
      </c>
      <c r="C40" s="14">
        <f>C38-Supuestos!$B$21</f>
        <v/>
      </c>
      <c r="D40" s="14">
        <f>D38</f>
        <v/>
      </c>
      <c r="E40" s="14">
        <f>E38</f>
        <v/>
      </c>
      <c r="F40" s="14">
        <f>F38</f>
        <v/>
      </c>
      <c r="G40" s="14">
        <f>G38</f>
        <v/>
      </c>
      <c r="H40" s="14">
        <f>H38</f>
        <v/>
      </c>
      <c r="I40" s="14">
        <f>I38</f>
        <v/>
      </c>
      <c r="J40" s="14">
        <f>J38</f>
        <v/>
      </c>
      <c r="K40" s="14">
        <f>K38</f>
        <v/>
      </c>
      <c r="L40" s="14">
        <f>L38</f>
        <v/>
      </c>
      <c r="M40" s="14">
        <f>M38</f>
        <v/>
      </c>
      <c r="N40" s="14">
        <f>N38</f>
        <v/>
      </c>
      <c r="O40" s="14">
        <f>O38</f>
        <v/>
      </c>
      <c r="P40" s="14">
        <f>P38</f>
        <v/>
      </c>
      <c r="Q40" s="14">
        <f>Q38</f>
        <v/>
      </c>
      <c r="R40" s="14">
        <f>R38</f>
        <v/>
      </c>
      <c r="S40" s="14">
        <f>S38</f>
        <v/>
      </c>
      <c r="T40" s="14">
        <f>T38</f>
        <v/>
      </c>
      <c r="U40" s="14">
        <f>U38</f>
        <v/>
      </c>
      <c r="V40" s="14">
        <f>V38</f>
        <v/>
      </c>
      <c r="W40" s="14">
        <f>W38+Supuestos!$B$21*(1+Supuestos!$B$23)^20</f>
        <v/>
      </c>
    </row>
    <row r="42">
      <c r="A42" s="7" t="inlineStr">
        <is>
          <t>Inversión total</t>
        </is>
      </c>
      <c r="C42" s="8">
        <f>-SUM(C32:W32)</f>
        <v/>
      </c>
    </row>
    <row r="43">
      <c r="A43" s="7" t="inlineStr">
        <is>
          <t>VAN al 10%</t>
        </is>
      </c>
      <c r="C43" s="8">
        <f>C38+NPV(Supuestos!$B$4,D38:W38)</f>
        <v/>
      </c>
    </row>
    <row r="44">
      <c r="A44" s="7" t="inlineStr">
        <is>
          <t>TIR</t>
        </is>
      </c>
      <c r="C44" s="23">
        <f>IFERROR(IRR(C38:W38),IFERROR(IRR(C38:W38,-0.05),"no aplica"))</f>
        <v/>
      </c>
    </row>
    <row r="45">
      <c r="A45" s="7" t="inlineStr">
        <is>
          <t>Año en que se recupera la inversión (acumulado ≥ 0)</t>
        </is>
      </c>
      <c r="C45" s="24">
        <f>IF(-SUM(C32:W32)=0,"sin inversión",IFERROR(INDEX(C25:W25,MATCH(TRUE,INDEX(C39:W39&gt;=0,0),0)),"no en 20 años"))</f>
        <v/>
      </c>
    </row>
    <row r="46">
      <c r="A46" s="7" t="inlineStr">
        <is>
          <t>Caja neta del año 5 sin inversiones (S/ nominales)</t>
        </is>
      </c>
      <c r="C46" s="8">
        <f>H38-H32</f>
        <v/>
      </c>
    </row>
    <row r="47">
      <c r="A47" s="7" t="inlineStr">
        <is>
          <t>TIR contando el terreno</t>
        </is>
      </c>
      <c r="C47" s="23">
        <f>IFERROR(IRR(C40:W40),"no aplica")</f>
        <v/>
      </c>
    </row>
  </sheetData>
  <mergeCells count="1">
    <mergeCell ref="A2:L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36" customWidth="1" min="3" max="3"/>
    <col width="12" customWidth="1" min="4" max="4"/>
    <col width="11" customWidth="1" min="5" max="5"/>
  </cols>
  <sheetData>
    <row r="1">
      <c r="A1" s="1" t="inlineStr">
        <is>
          <t>DATOS DE MERCADO Y FUENTES (investigación oct-2026)</t>
        </is>
      </c>
    </row>
    <row r="3">
      <c r="A3" s="20" t="inlineStr">
        <is>
          <t>Tema</t>
        </is>
      </c>
      <c r="B3" s="20" t="inlineStr">
        <is>
          <t>Dato</t>
        </is>
      </c>
      <c r="C3" s="20" t="inlineStr">
        <is>
          <t>Fuente</t>
        </is>
      </c>
      <c r="D3" s="20" t="inlineStr">
        <is>
          <t>Fecha</t>
        </is>
      </c>
      <c r="E3" s="20" t="inlineStr">
        <is>
          <t>Confianza</t>
        </is>
      </c>
    </row>
    <row r="4">
      <c r="A4" s="13" t="inlineStr">
        <is>
          <t>Población</t>
        </is>
      </c>
      <c r="B4" s="13" t="inlineStr">
        <is>
          <t>Ciudad de Mendoza: 5,130 hab. (Censo 2017) y 3,356 en 2007; provincia: 29,998 hab. (2017); la provincia creció 1.3 % anual entre 2017 y 2025 (Censos 2025). Estimado 2026: 6,100-6,700 hab. en la ciudad.</t>
        </is>
      </c>
      <c r="C4" s="13" t="inlineStr">
        <is>
          <t>INEI (citypopulation.de); INEI, nota de prensa de los Censos 2025</t>
        </is>
      </c>
      <c r="D4" s="13" t="inlineStr">
        <is>
          <t>2017 / 2026</t>
        </is>
      </c>
      <c r="E4" s="13" t="inlineStr">
        <is>
          <t>media</t>
        </is>
      </c>
    </row>
    <row r="5">
      <c r="A5" s="13" t="inlineStr">
        <is>
          <t>Eje comercial</t>
        </is>
      </c>
      <c r="B5" s="13" t="inlineStr">
        <is>
          <t>Agencia del Banco de la Nación en Jr. Toribio Rodríguez de Mendoza N.º 309: el jirón es el eje comercial e institucional.</t>
        </is>
      </c>
      <c r="C5" s="13" t="inlineStr">
        <is>
          <t>Banco de la Nación (ubicador de agencias)</t>
        </is>
      </c>
      <c r="D5" s="13" t="inlineStr">
        <is>
          <t>2025</t>
        </is>
      </c>
      <c r="E5" s="13" t="inlineStr">
        <is>
          <t>alta</t>
        </is>
      </c>
    </row>
    <row r="6">
      <c r="A6" s="13" t="inlineStr">
        <is>
          <t>Hospital</t>
        </is>
      </c>
      <c r="B6" s="13" t="inlineStr">
        <is>
          <t>Nuevo local del Hospital María Auxiliadora II-1 (CUI 2195952, «Mejoramiento»): reemplaza al hospital que ya funciona en San Nicolás, con 26-54 camas; 96 % de avance hacia ago-2026, apertura probable en 2027; ubicación del nuevo sitio por verificar.</t>
        </is>
      </c>
      <c r="C6" s="13" t="inlineStr">
        <is>
          <t>MEF (DS 016-2017-EF), Contraloría, GORE Amazonas, prensa local</t>
        </is>
      </c>
      <c r="D6" s="13" t="inlineStr">
        <is>
          <t>2026</t>
        </is>
      </c>
      <c r="E6" s="13" t="inlineStr">
        <is>
          <t>media</t>
        </is>
      </c>
    </row>
    <row r="7">
      <c r="A7" s="13" t="inlineStr">
        <is>
          <t>Carretera</t>
        </is>
      </c>
      <c r="B7" s="13" t="inlineStr">
        <is>
          <t>PE-8B Chachapoyas–Rodríguez de Mendoza: 76.9 km asfaltados y 10 puentes (≈ S/ 369 MM), aún en estudio definitivo.</t>
        </is>
      </c>
      <c r="C7" s="13" t="inlineStr">
        <is>
          <t>MTC / Provías Nacional (CUI 2546400)</t>
        </is>
      </c>
      <c r="D7" s="13" t="inlineStr">
        <is>
          <t>2023-2025</t>
        </is>
      </c>
      <c r="E7" s="13" t="inlineStr">
        <is>
          <t>alta</t>
        </is>
      </c>
    </row>
    <row r="8">
      <c r="A8" s="13" t="inlineStr">
        <is>
          <t>Turismo</t>
        </is>
      </c>
      <c r="B8" s="13" t="inlineStr">
        <is>
          <t>El 94 % de los visitantes de la provincia son de la misma provincia y el 91 % se aloja con familiares; ocupación de hospedajes de Amazonas ≈ 19-23 %; arribos 2024: 382,622 (−10.8 %).</t>
        </is>
      </c>
      <c r="C8" s="13" t="inlineStr">
        <is>
          <t>Tesis UNALM; MINCETUR</t>
        </is>
      </c>
      <c r="D8" s="13" t="inlineStr">
        <is>
          <t>2023-2025</t>
        </is>
      </c>
      <c r="E8" s="13" t="inlineStr">
        <is>
          <t>media</t>
        </is>
      </c>
    </row>
    <row r="9">
      <c r="A9" s="13" t="inlineStr">
        <is>
          <t>Transporte</t>
        </is>
      </c>
      <c r="B9" s="13" t="inlineStr">
        <is>
          <t>4 empresas autorizadas por la DRTC en rutas Mendoza–Chachapoyas; no se halló terminal formal.</t>
        </is>
      </c>
      <c r="C9" s="13" t="inlineStr">
        <is>
          <t>DRTC Amazonas (resoluciones de autorización)</t>
        </is>
      </c>
      <c r="D9" s="13" t="inlineStr">
        <is>
          <t>2022-2024</t>
        </is>
      </c>
      <c r="E9" s="13" t="inlineStr">
        <is>
          <t>alta</t>
        </is>
      </c>
    </row>
    <row r="10">
      <c r="A10" s="13" t="inlineStr">
        <is>
          <t>Alquiler de locales</t>
        </is>
      </c>
      <c r="B10" s="13" t="inlineStr">
        <is>
          <t>Chachapoyas, Jr. Amazonas: S/ 54-98 por m² al mes en locales de 25-55 m² y S/ 24 en 127 m²; Moyobamba: S/ 29-40; Tarapoto: S/ 28 (466 m² para financieras).</t>
        </is>
      </c>
      <c r="C10" s="13" t="inlineStr">
        <is>
          <t>Avisos en portales inmobiliarios</t>
        </is>
      </c>
      <c r="D10" s="13" t="inlineStr">
        <is>
          <t>oct-2026</t>
        </is>
      </c>
      <c r="E10" s="13" t="inlineStr">
        <is>
          <t>media</t>
        </is>
      </c>
    </row>
    <row r="11">
      <c r="A11" s="13" t="inlineStr">
        <is>
          <t>Alquiler de locales (Mendoza)</t>
        </is>
      </c>
      <c r="B11" s="13" t="inlineStr">
        <is>
          <t>Estimado: S/ 12-18 por m² al mes para locales de 40-50 m² en el jirón y S/ 10-20 para un local de 100 m² sin contrato (la renta por m² baja con el tamaño). Bagua Grande: S/ 600 por un local de 1.er piso. Sin avisos publicados en Mendoza.</t>
        </is>
      </c>
      <c r="C11" s="13" t="inlineStr">
        <is>
          <t>Estimación por comparables</t>
        </is>
      </c>
      <c r="D11" s="13" t="inlineStr">
        <is>
          <t>oct-2026</t>
        </is>
      </c>
      <c r="E11" s="13" t="inlineStr">
        <is>
          <t>baja</t>
        </is>
      </c>
    </row>
    <row r="12">
      <c r="A12" s="13" t="inlineStr">
        <is>
          <t>Cuartos y departamentos</t>
        </is>
      </c>
      <c r="B12" s="13" t="inlineStr">
        <is>
          <t>Chachapoyas: cuarto con baño S/ 380-480; departamento de 2 dormitorios S/ 1,100-1,400. Estimado para Mendoza: minidepartamento S/ 400-650.</t>
        </is>
      </c>
      <c r="C12" s="13" t="inlineStr">
        <is>
          <t>Avisos; estimación por comparables</t>
        </is>
      </c>
      <c r="D12" s="13" t="inlineStr">
        <is>
          <t>oct-2026</t>
        </is>
      </c>
      <c r="E12" s="13" t="inlineStr">
        <is>
          <t>baja</t>
        </is>
      </c>
    </row>
    <row r="13">
      <c r="A13" s="13" t="inlineStr">
        <is>
          <t>Valor del terreno</t>
        </is>
      </c>
      <c r="B13" s="13" t="inlineStr">
        <is>
          <t>Chachapoyas: lote céntrico de 204 m² a ≈ S/ 955 por m² (precio pedido); tasación en Huambo (misma provincia) ≈ S/ 680 por m² en 2019. Los lotes grandes se venden 20-40 % más baratos por m²: estimado para el lote S/ 400-850 por m².</t>
        </is>
      </c>
      <c r="C13" s="13" t="inlineStr">
        <is>
          <t>Avisos; tasación REPEV</t>
        </is>
      </c>
      <c r="D13" s="13" t="inlineStr">
        <is>
          <t>2019-2026</t>
        </is>
      </c>
      <c r="E13" s="13" t="inlineStr">
        <is>
          <t>baja</t>
        </is>
      </c>
    </row>
    <row r="14">
      <c r="A14" s="13" t="inlineStr">
        <is>
          <t>Costo de construcción</t>
        </is>
      </c>
      <c r="B14" s="13" t="inlineStr">
        <is>
          <t>Albañilería confinada S/ 1,200-1,800 por m² (referencia nacional 2026); estimado para Mendoza: local de 1 piso S/ 950-1,250 y 2-3 pisos S/ 1,100-1,750 según acabados.</t>
        </is>
      </c>
      <c r="C14" s="13" t="inlineStr">
        <is>
          <t>Guías de costos 2026; RM 277-2025-VIVIENDA (valores unitarios)</t>
        </is>
      </c>
      <c r="D14" s="13" t="inlineStr">
        <is>
          <t>2026</t>
        </is>
      </c>
      <c r="E14" s="13" t="inlineStr">
        <is>
          <t>baja</t>
        </is>
      </c>
    </row>
    <row r="15">
      <c r="A15" s="13" t="inlineStr">
        <is>
          <t>Cancha sintética</t>
        </is>
      </c>
      <c r="B15" s="13" t="inlineStr">
        <is>
          <t>Cancha de ≈ 700 m² en Lima: S/ 130-166 mil sin techo; cancha techada en Espinar: S/ 375 mil. Tarifas: Iquitos S/ 80 por hora; estimado para Mendoza S/ 50-70.</t>
        </is>
      </c>
      <c r="C15" s="13" t="inlineStr">
        <is>
          <t>Proveedores; Antapaccay; tesis</t>
        </is>
      </c>
      <c r="D15" s="13" t="inlineStr">
        <is>
          <t>2022-2026</t>
        </is>
      </c>
      <c r="E15" s="13" t="inlineStr">
        <is>
          <t>media</t>
        </is>
      </c>
    </row>
    <row r="16">
      <c r="A16" s="13" t="inlineStr">
        <is>
          <t>Tributos</t>
        </is>
      </c>
      <c r="B16" s="13" t="inlineStr">
        <is>
          <t>Alquiler como persona natural: 5 % efectivo sobre lo cobrado, sin IGV; impuesto predial 0.2 % / 0.6 % / 1.0 % por tramos de autovalúo; UIT 2026 = S/ 5,500.</t>
        </is>
      </c>
      <c r="C16" s="13" t="inlineStr">
        <is>
          <t>SUNAT; TUO Ley de Tributación Municipal</t>
        </is>
      </c>
      <c r="D16" s="13" t="inlineStr">
        <is>
          <t>2026</t>
        </is>
      </c>
      <c r="E16" s="13" t="inlineStr">
        <is>
          <t>alta</t>
        </is>
      </c>
    </row>
    <row r="17">
      <c r="A17" s="13" t="inlineStr">
        <is>
          <t>Financiamiento</t>
        </is>
      </c>
      <c r="B17" s="13" t="inlineStr">
        <is>
          <t>Hipotecario bancario 7.2-7.9 % TEA; cajas 12.7-14.3 %; crédito microempresa 47-59 %. Mivivienda y Techo Propio no financian construir para alquilar.</t>
        </is>
      </c>
      <c r="C17" s="13" t="inlineStr">
        <is>
          <t>SBS; cajas municipales; Fondo Mivivienda</t>
        </is>
      </c>
      <c r="D17" s="13" t="inlineStr">
        <is>
          <t>2026</t>
        </is>
      </c>
      <c r="E17" s="13" t="inlineStr">
        <is>
          <t>media</t>
        </is>
      </c>
    </row>
    <row r="18">
      <c r="A18" s="13" t="inlineStr">
        <is>
          <t>Grifo</t>
        </is>
      </c>
      <c r="B18" s="13" t="inlineStr">
        <is>
          <t>Exige 50 m de distancia a colegios, iglesias y mercados, más el informe técnico de Osinergmin: probablemente inviable en el centro.</t>
        </is>
      </c>
      <c r="C18" s="13" t="inlineStr">
        <is>
          <t>D.S. 054-93-EM; Osinergmin</t>
        </is>
      </c>
      <c r="D18" s="13" t="inlineStr">
        <is>
          <t>vigente</t>
        </is>
      </c>
      <c r="E18" s="13" t="inlineStr">
        <is>
          <t>media</t>
        </is>
      </c>
    </row>
    <row r="19">
      <c r="A19" s="13" t="inlineStr">
        <is>
          <t>Depósitos a plazo</t>
        </is>
      </c>
      <c r="B19" s="13" t="inlineStr">
        <is>
          <t>Cajas municipales 5.2-7.1 % TEA en 2026; el Fondo de Seguro de Depósitos cubre ≈ S/ 120 mil por entidad; intereses de personas naturales exonerados del impuesto a la renta (verificar vigencia).</t>
        </is>
      </c>
      <c r="C19" s="13" t="inlineStr">
        <is>
          <t>Andina; SBS; LIR art. 19</t>
        </is>
      </c>
      <c r="D19" s="13" t="inlineStr">
        <is>
          <t>2026</t>
        </is>
      </c>
      <c r="E19" s="13" t="inlineStr">
        <is>
          <t>media</t>
        </is>
      </c>
    </row>
    <row r="20">
      <c r="A20" s="13" t="inlineStr">
        <is>
          <t>Estacionamientos exigidos</t>
        </is>
      </c>
      <c r="B20" s="13" t="inlineStr">
        <is>
          <t>La A.070 exige estacionamiento dentro del lote para comercio; sin PDU la cantidad la fija el certificado de parámetros (≈ 5-6 plazas para 235 m² de locales, más 1 accesible).</t>
        </is>
      </c>
      <c r="C20" s="13" t="inlineStr">
        <is>
          <t>RNE A.070 (RM 060-2021-VIVIENDA)</t>
        </is>
      </c>
      <c r="D20" s="13" t="inlineStr">
        <is>
          <t>2021</t>
        </is>
      </c>
      <c r="E20" s="13" t="inlineStr">
        <is>
          <t>media</t>
        </is>
      </c>
    </row>
    <row r="23">
      <c r="A23" s="7" t="inlineStr">
        <is>
          <t>QUÉ VALIDAR EN CAMPO ANTES DE INVERTIR</t>
        </is>
      </c>
    </row>
    <row r="24">
      <c r="A24" s="25" t="inlineStr">
        <is>
          <t>Alquiler real de locales en el Jr. Rodríguez de Mendoza</t>
        </is>
      </c>
      <c r="B24" s="25" t="inlineStr">
        <is>
          <t>Recorrer 2-3 cuadras, anotar carteles «se alquila» y preguntar a 8-10 inquilinos cuánto pagan, cuántos m² tienen y qué garantía dejaron. Es el dato que más cambia el resultado.</t>
        </is>
      </c>
    </row>
    <row r="25">
      <c r="A25" s="25" t="inlineStr">
        <is>
          <t>Interés de un inquilino ancla para la esquina</t>
        </is>
      </c>
      <c r="B25" s="25" t="inlineStr">
        <is>
          <t>Conversar con farmacias de cadena, cajas municipales (Piura, Sullana, Trujillo, Arequipa), Mibanco, cooperativas cafetaleras y ferreterías; pedir una carta de intención antes de construir.</t>
        </is>
      </c>
    </row>
    <row r="26">
      <c r="A26" s="25" t="inlineStr">
        <is>
          <t>Certificado de Parámetros Urbanísticos y Edificatorios</t>
        </is>
      </c>
      <c r="B26" s="25" t="inlineStr">
        <is>
          <t>Pedirlo a la Municipalidad Provincial de Rodríguez de Mendoza: confirma usos permitidos, altura máxima, retiros o ensanche del jirón y estacionamientos exigidos a los locales (decide cuántas plazas quedan para abonados y si caben 3 pisos).</t>
        </is>
      </c>
    </row>
    <row r="27">
      <c r="A27" s="25" t="inlineStr">
        <is>
          <t>Abonados de cochera</t>
        </is>
      </c>
      <c r="B27" s="25" t="inlineStr">
        <is>
          <t>Antes de habilitar la cochera, inscribir al menos 10-12 abonados con 3 meses pagados por adelantado.</t>
        </is>
      </c>
    </row>
    <row r="28">
      <c r="A28" s="25" t="inlineStr">
        <is>
          <t>Ubicación del nuevo local del hospital y su personal adicional</t>
        </is>
      </c>
      <c r="B28" s="25" t="inlineStr">
        <is>
          <t>Es un reemplazo del hospital actual: averiguar en la DIRESA o en la obra (CUI 2195952) dónde queda, cuándo abre y cuánto personal nuevo llega. Si queda lejos, las boticas y consultorios se moverán hacia allá.</t>
        </is>
      </c>
    </row>
    <row r="29">
      <c r="A29" s="25" t="inlineStr">
        <is>
          <t>Interés por arrendar el lote o la esquina</t>
        </is>
      </c>
      <c r="B29" s="25" t="inlineStr">
        <is>
          <t>Ofrecer el lote completo y la esquina (derecho de superficie o build-to-suit) a ferreterías, concesionarios de motos, empresas de transporte, cajas, farmacias y cooperativas antes de construir: una oferta seria cambia la decisión.</t>
        </is>
      </c>
    </row>
    <row r="30">
      <c r="A30" s="25" t="inlineStr">
        <is>
          <t>Tasación del terreno</t>
        </is>
      </c>
      <c r="B30" s="25" t="inlineStr">
        <is>
          <t>Pedir una tasación a un perito REPEV (≈ S/ 500-1,000) y revisar compraventas recientes en notarías o SUNARP.</t>
        </is>
      </c>
    </row>
    <row r="31">
      <c r="A31" s="25" t="inlineStr">
        <is>
          <t>Costo real de obra</t>
        </is>
      </c>
      <c r="B31" s="25" t="inlineStr">
        <is>
          <t>Pedir 2-3 cotizaciones a contratistas de Mendoza o Chachapoyas para casco y acabado económico.</t>
        </is>
      </c>
    </row>
    <row r="32">
      <c r="A32" s="25" t="inlineStr">
        <is>
          <t>Zona sísmica y estudio de suelos</t>
        </is>
      </c>
      <c r="B32" s="25" t="inlineStr">
        <is>
          <t>Confirmar en la E.030 vigente si Rodríguez de Mendoza es zona 2 o 3 y hacer el estudio de mecánica de suelos antes de dimensionar zapatas para 3 pisos.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2026-10-11T21:12:14Z</dcterms:created>
  <dcterms:modified xmlns:dcterms="http://purl.org/dc/terms/" xmlns:xsi="http://www.w3.org/2001/XMLSchema-instance" xsi:type="dcterms:W3CDTF">2026-10-11T21:12:14Z</dcterms:modified>
</cp:coreProperties>
</file>