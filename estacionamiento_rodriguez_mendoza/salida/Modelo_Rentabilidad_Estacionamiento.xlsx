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Inversion" sheetId="2" state="visible" r:id="rId2"/>
    <sheet xmlns:r="http://schemas.openxmlformats.org/officeDocument/2006/relationships" name="Escenarios" sheetId="3" state="visible" r:id="rId3"/>
    <sheet xmlns:r="http://schemas.openxmlformats.org/officeDocument/2006/relationships" name="Flujo" sheetId="4" state="visible" r:id="rId4"/>
    <sheet xmlns:r="http://schemas.openxmlformats.org/officeDocument/2006/relationships" name="Sensibi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S/ &quot;#,##0.00"/>
    <numFmt numFmtId="166" formatCode="&quot;S/ &quot;#,##0"/>
    <numFmt numFmtId="167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165" fontId="0" fillId="3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0" fontId="2" fillId="4" borderId="0" applyAlignment="1" pivotButton="0" quotePrefix="0" xfId="0">
      <alignment horizontal="center"/>
    </xf>
    <xf numFmtId="167" fontId="0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3" fontId="0" fillId="0" borderId="0" pivotButton="0" quotePrefix="0" xfId="0"/>
    <xf numFmtId="166" fontId="2" fillId="4" borderId="0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</cols>
  <sheetData>
    <row r="1">
      <c r="A1" s="1" t="inlineStr">
        <is>
          <t>SUPUESTOS DEL MODELO (celdas amarillas = editables)</t>
        </is>
      </c>
    </row>
    <row r="3">
      <c r="A3" s="2" t="inlineStr">
        <is>
          <t>Datos del proyecto</t>
        </is>
      </c>
    </row>
    <row r="4">
      <c r="A4" t="inlineStr">
        <is>
          <t>Plazas vehiculares techadas</t>
        </is>
      </c>
      <c r="B4" s="3" t="n">
        <v>28</v>
      </c>
      <c r="C4" t="inlineStr">
        <is>
          <t>und</t>
        </is>
      </c>
    </row>
    <row r="5">
      <c r="A5" t="inlineStr">
        <is>
          <t>Plazas motos / mototaxis</t>
        </is>
      </c>
      <c r="B5" s="3" t="n">
        <v>7</v>
      </c>
      <c r="C5" t="inlineStr">
        <is>
          <t>und</t>
        </is>
      </c>
    </row>
    <row r="6">
      <c r="A6" t="inlineStr">
        <is>
          <t>Área del terreno</t>
        </is>
      </c>
      <c r="B6" s="3" t="n">
        <v>820.2</v>
      </c>
      <c r="C6" t="inlineStr">
        <is>
          <t>m²</t>
        </is>
      </c>
    </row>
    <row r="7">
      <c r="A7" t="inlineStr">
        <is>
          <t>Área pavimentada</t>
        </is>
      </c>
      <c r="B7" s="3" t="n">
        <v>713.8</v>
      </c>
      <c r="C7" t="inlineStr">
        <is>
          <t>m²</t>
        </is>
      </c>
    </row>
    <row r="8">
      <c r="A8" t="inlineStr">
        <is>
          <t>Área techada</t>
        </is>
      </c>
      <c r="B8" s="3" t="n">
        <v>413.8</v>
      </c>
      <c r="C8" t="inlineStr">
        <is>
          <t>m²</t>
        </is>
      </c>
    </row>
    <row r="9">
      <c r="A9" t="inlineStr">
        <is>
          <t>Acero estructural</t>
        </is>
      </c>
      <c r="B9" s="3" t="n">
        <v>6832</v>
      </c>
      <c r="C9" t="inlineStr">
        <is>
          <t>kg</t>
        </is>
      </c>
    </row>
    <row r="10">
      <c r="A10" t="inlineStr">
        <is>
          <t>Tipo de piso (1 = afirmado, 2 = losa de concreto)</t>
        </is>
      </c>
      <c r="B10" s="3" t="n">
        <v>1</v>
      </c>
      <c r="C10" t="inlineStr"/>
    </row>
    <row r="11">
      <c r="A11" t="inlineStr">
        <is>
          <t>Precio afirmado e=0.20 m</t>
        </is>
      </c>
      <c r="B11" s="3" t="n">
        <v>40</v>
      </c>
      <c r="C11" t="inlineStr">
        <is>
          <t>S/ por m²</t>
        </is>
      </c>
    </row>
    <row r="12">
      <c r="A12" t="inlineStr">
        <is>
          <t>Precio losa de concreto e=0.15 m</t>
        </is>
      </c>
      <c r="B12" s="3" t="n">
        <v>130</v>
      </c>
      <c r="C12" t="inlineStr">
        <is>
          <t>S/ por m²</t>
        </is>
      </c>
    </row>
    <row r="13">
      <c r="A13" t="inlineStr">
        <is>
          <t>Precio estructura metálica instalada</t>
        </is>
      </c>
      <c r="B13" s="3" t="n">
        <v>12</v>
      </c>
      <c r="C13" t="inlineStr">
        <is>
          <t>S/ por kg</t>
        </is>
      </c>
    </row>
    <row r="14">
      <c r="A14" t="inlineStr">
        <is>
          <t>Gastos generales y dirección técnica</t>
        </is>
      </c>
      <c r="B14" s="4" t="n">
        <v>0.1</v>
      </c>
      <c r="C14" t="inlineStr">
        <is>
          <t>%</t>
        </is>
      </c>
    </row>
    <row r="15">
      <c r="A15" t="inlineStr">
        <is>
          <t>Imprevistos</t>
        </is>
      </c>
      <c r="B15" s="4" t="n">
        <v>0.07000000000000001</v>
      </c>
      <c r="C15" t="inlineStr">
        <is>
          <t>%</t>
        </is>
      </c>
    </row>
    <row r="16">
      <c r="A16" s="2" t="inlineStr">
        <is>
          <t>Operación</t>
        </is>
      </c>
    </row>
    <row r="17">
      <c r="A17" t="inlineStr">
        <is>
          <t>¿Guardián contratado? (1 = sí, 0 = lo opera el propietario)</t>
        </is>
      </c>
      <c r="B17" s="3" t="n">
        <v>1</v>
      </c>
      <c r="C17" t="inlineStr"/>
    </row>
    <row r="18">
      <c r="A18" t="inlineStr">
        <is>
          <t>Remuneración mínima vital</t>
        </is>
      </c>
      <c r="B18" s="3" t="n">
        <v>1130</v>
      </c>
      <c r="C18" t="inlineStr">
        <is>
          <t>S/ por mes</t>
        </is>
      </c>
    </row>
    <row r="19">
      <c r="A19" t="inlineStr">
        <is>
          <t>Factor de cargas laborales (EsSalud + vacaciones)</t>
        </is>
      </c>
      <c r="B19" s="3" t="n">
        <v>1.1317</v>
      </c>
      <c r="C19" t="inlineStr"/>
    </row>
    <row r="20">
      <c r="A20" t="inlineStr">
        <is>
          <t>Consumo eléctrico</t>
        </is>
      </c>
      <c r="B20" s="3" t="n">
        <v>10.9</v>
      </c>
      <c r="C20" t="inlineStr">
        <is>
          <t>kWh por día</t>
        </is>
      </c>
    </row>
    <row r="21">
      <c r="A21" t="inlineStr">
        <is>
          <t>Tarifa eléctrica</t>
        </is>
      </c>
      <c r="B21" s="3" t="n">
        <v>0.8</v>
      </c>
      <c r="C21" t="inlineStr">
        <is>
          <t>S/ por kWh</t>
        </is>
      </c>
    </row>
    <row r="22">
      <c r="A22" t="inlineStr">
        <is>
          <t>Agua y desagüe</t>
        </is>
      </c>
      <c r="B22" s="3" t="n">
        <v>35</v>
      </c>
      <c r="C22" t="inlineStr">
        <is>
          <t>S/ por mes</t>
        </is>
      </c>
    </row>
    <row r="23">
      <c r="A23" t="inlineStr">
        <is>
          <t>Mantenimiento anual</t>
        </is>
      </c>
      <c r="B23" s="4" t="n">
        <v>0.01</v>
      </c>
      <c r="C23" t="inlineStr">
        <is>
          <t>% del CAPEX</t>
        </is>
      </c>
    </row>
    <row r="24">
      <c r="A24" t="inlineStr">
        <is>
          <t>Predial y arbitrios</t>
        </is>
      </c>
      <c r="B24" s="3" t="n">
        <v>1200</v>
      </c>
      <c r="C24" t="inlineStr">
        <is>
          <t>S/ por año</t>
        </is>
      </c>
    </row>
    <row r="25">
      <c r="A25" t="inlineStr">
        <is>
          <t>Seguro multirriesgo y RC</t>
        </is>
      </c>
      <c r="B25" s="3" t="n">
        <v>1800</v>
      </c>
      <c r="C25" t="inlineStr">
        <is>
          <t>S/ por año</t>
        </is>
      </c>
    </row>
    <row r="26">
      <c r="A26" t="inlineStr">
        <is>
          <t>Cuota Nuevo RUS</t>
        </is>
      </c>
      <c r="B26" s="3" t="n">
        <v>50</v>
      </c>
      <c r="C26" t="inlineStr">
        <is>
          <t>S/ por mes</t>
        </is>
      </c>
    </row>
    <row r="27">
      <c r="A27" t="inlineStr">
        <is>
          <t>Varios (tickets, internet)</t>
        </is>
      </c>
      <c r="B27" s="3" t="n">
        <v>100</v>
      </c>
      <c r="C27" t="inlineStr">
        <is>
          <t>S/ por mes</t>
        </is>
      </c>
    </row>
    <row r="28">
      <c r="A28" s="2" t="inlineStr">
        <is>
          <t>Evaluación</t>
        </is>
      </c>
    </row>
    <row r="29">
      <c r="A29" t="inlineStr">
        <is>
          <t>Ocupación relativa año 1</t>
        </is>
      </c>
      <c r="B29" s="4" t="n">
        <v>0.6</v>
      </c>
      <c r="C29" t="inlineStr">
        <is>
          <t>%</t>
        </is>
      </c>
    </row>
    <row r="30">
      <c r="A30" t="inlineStr">
        <is>
          <t>Ocupación relativa año 2</t>
        </is>
      </c>
      <c r="B30" s="4" t="n">
        <v>0.85</v>
      </c>
      <c r="C30" t="inlineStr">
        <is>
          <t>%</t>
        </is>
      </c>
    </row>
    <row r="31">
      <c r="A31" t="inlineStr">
        <is>
          <t>Crecimiento anual de tarifas y costos</t>
        </is>
      </c>
      <c r="B31" s="4" t="n">
        <v>0.03</v>
      </c>
      <c r="C31" t="inlineStr">
        <is>
          <t>%</t>
        </is>
      </c>
    </row>
    <row r="32">
      <c r="A32" t="inlineStr">
        <is>
          <t>Tasa de descuento</t>
        </is>
      </c>
      <c r="B32" s="4" t="n">
        <v>0.1</v>
      </c>
      <c r="C32" t="inlineStr">
        <is>
          <t>%</t>
        </is>
      </c>
    </row>
    <row r="33">
      <c r="A33" t="inlineStr">
        <is>
          <t>Mantenimiento mayor (año 10)</t>
        </is>
      </c>
      <c r="B33" s="4" t="n">
        <v>0.06</v>
      </c>
      <c r="C33" t="inlineStr">
        <is>
          <t>% del CAPEX</t>
        </is>
      </c>
    </row>
  </sheetData>
  <dataValidations count="2">
    <dataValidation sqref="B10" showDropDown="0" showInputMessage="0" showErrorMessage="0" allowBlank="0" type="list">
      <formula1>"1,2"</formula1>
    </dataValidation>
    <dataValidation sqref="B17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" customWidth="1" min="3" max="3"/>
    <col width="11" customWidth="1" min="4" max="4"/>
    <col width="14" customWidth="1" min="5" max="5"/>
    <col width="14" customWidth="1" min="6" max="6"/>
  </cols>
  <sheetData>
    <row r="1">
      <c r="A1" s="1" t="inlineStr">
        <is>
          <t>PRESUPUESTO REFERENCIAL DE INVERSIÓN (CAPEX) - S/ con IGV</t>
        </is>
      </c>
    </row>
    <row r="3">
      <c r="A3" s="5" t="inlineStr">
        <is>
          <t>Grupo</t>
        </is>
      </c>
      <c r="B3" s="5" t="inlineStr">
        <is>
          <t>Partida</t>
        </is>
      </c>
      <c r="C3" s="5" t="inlineStr">
        <is>
          <t>Und.</t>
        </is>
      </c>
      <c r="D3" s="5" t="inlineStr">
        <is>
          <t>Cantidad</t>
        </is>
      </c>
      <c r="E3" s="5" t="inlineStr">
        <is>
          <t>P. unitario</t>
        </is>
      </c>
      <c r="F3" s="5" t="inlineStr">
        <is>
          <t>Parcial</t>
        </is>
      </c>
    </row>
    <row r="4">
      <c r="A4" s="6" t="inlineStr">
        <is>
          <t>Obras preliminares</t>
        </is>
      </c>
      <c r="B4" s="6" t="inlineStr">
        <is>
          <t>Limpieza, retiro de capa orgánica e=0.20 m y eliminación</t>
        </is>
      </c>
      <c r="C4" s="6" t="inlineStr">
        <is>
          <t>m²</t>
        </is>
      </c>
      <c r="D4" s="6" t="n">
        <v>820.2</v>
      </c>
      <c r="E4" s="7" t="n">
        <v>8</v>
      </c>
      <c r="F4" s="8">
        <f>D4*E4</f>
        <v/>
      </c>
    </row>
    <row r="5">
      <c r="A5" s="6" t="inlineStr">
        <is>
          <t>Obras preliminares</t>
        </is>
      </c>
      <c r="B5" s="6" t="inlineStr">
        <is>
          <t>Trazo, nivelación y replanteo</t>
        </is>
      </c>
      <c r="C5" s="6" t="inlineStr">
        <is>
          <t>glb</t>
        </is>
      </c>
      <c r="D5" s="6" t="n">
        <v>1</v>
      </c>
      <c r="E5" s="7" t="n">
        <v>1500</v>
      </c>
      <c r="F5" s="8">
        <f>D5*E5</f>
        <v/>
      </c>
    </row>
    <row r="6">
      <c r="A6" s="6" t="inlineStr">
        <is>
          <t>Pavimento</t>
        </is>
      </c>
      <c r="B6" s="6" t="inlineStr">
        <is>
          <t>Pavimento (afirmado o losa según Supuestos)</t>
        </is>
      </c>
      <c r="C6" s="6" t="inlineStr">
        <is>
          <t>m²</t>
        </is>
      </c>
      <c r="D6" s="6">
        <f>Supuestos!$B$7</f>
        <v/>
      </c>
      <c r="E6" s="9">
        <f>IF(Supuestos!$B$10=1,Supuestos!$B$11,Supuestos!$B$12)</f>
        <v/>
      </c>
      <c r="F6" s="8">
        <f>D6*E6</f>
        <v/>
      </c>
    </row>
    <row r="7">
      <c r="A7" s="6" t="inlineStr">
        <is>
          <t>Cerco y accesos</t>
        </is>
      </c>
      <c r="B7" s="6" t="inlineStr">
        <is>
          <t>Cerco de albañilería confinada h=2.40 m (frentes a calle)</t>
        </is>
      </c>
      <c r="C7" s="6" t="inlineStr">
        <is>
          <t>ml</t>
        </is>
      </c>
      <c r="D7" s="6" t="n">
        <v>41.8</v>
      </c>
      <c r="E7" s="7" t="n">
        <v>330</v>
      </c>
      <c r="F7" s="8">
        <f>D7*E7</f>
        <v/>
      </c>
    </row>
    <row r="8">
      <c r="A8" s="6" t="inlineStr">
        <is>
          <t>Cerco y accesos</t>
        </is>
      </c>
      <c r="B8" s="6" t="inlineStr">
        <is>
          <t>Cerco de albañilería h=2.40 m (fondo C-D)</t>
        </is>
      </c>
      <c r="C8" s="6" t="inlineStr">
        <is>
          <t>ml</t>
        </is>
      </c>
      <c r="D8" s="6" t="n">
        <v>30</v>
      </c>
      <c r="E8" s="7" t="n">
        <v>330</v>
      </c>
      <c r="F8" s="8">
        <f>D8*E8</f>
        <v/>
      </c>
    </row>
    <row r="9">
      <c r="A9" s="6" t="inlineStr">
        <is>
          <t>Cerco y accesos</t>
        </is>
      </c>
      <c r="B9" s="6" t="inlineStr">
        <is>
          <t>Portón metálico corredizo 3.00 x 2.40 m</t>
        </is>
      </c>
      <c r="C9" s="6" t="inlineStr">
        <is>
          <t>und</t>
        </is>
      </c>
      <c r="D9" s="6" t="n">
        <v>2</v>
      </c>
      <c r="E9" s="7" t="n">
        <v>4800</v>
      </c>
      <c r="F9" s="8">
        <f>D9*E9</f>
        <v/>
      </c>
    </row>
    <row r="10">
      <c r="A10" s="6" t="inlineStr">
        <is>
          <t>Cerco y accesos</t>
        </is>
      </c>
      <c r="B10" s="6" t="inlineStr">
        <is>
          <t>Puerta peatonal metálica 1.00 x 2.10 m</t>
        </is>
      </c>
      <c r="C10" s="6" t="inlineStr">
        <is>
          <t>und</t>
        </is>
      </c>
      <c r="D10" s="6" t="n">
        <v>2</v>
      </c>
      <c r="E10" s="7" t="n">
        <v>950</v>
      </c>
      <c r="F10" s="8">
        <f>D10*E10</f>
        <v/>
      </c>
    </row>
    <row r="11">
      <c r="A11" s="6" t="inlineStr">
        <is>
          <t>Estructura techada</t>
        </is>
      </c>
      <c r="B11" s="6" t="inlineStr">
        <is>
          <t>Zapata Z-1 + dado + pernos de anclaje</t>
        </is>
      </c>
      <c r="C11" s="6" t="inlineStr">
        <is>
          <t>und</t>
        </is>
      </c>
      <c r="D11" s="6" t="n">
        <v>13</v>
      </c>
      <c r="E11" s="7" t="n">
        <v>2022</v>
      </c>
      <c r="F11" s="8">
        <f>D11*E11</f>
        <v/>
      </c>
    </row>
    <row r="12">
      <c r="A12" s="6" t="inlineStr">
        <is>
          <t>Estructura techada</t>
        </is>
      </c>
      <c r="B12" s="6" t="inlineStr">
        <is>
          <t>Estructura metálica: suministro, fabricación, pintura y montaje</t>
        </is>
      </c>
      <c r="C12" s="6" t="inlineStr">
        <is>
          <t>kg</t>
        </is>
      </c>
      <c r="D12" s="6">
        <f>Supuestos!$B$9</f>
        <v/>
      </c>
      <c r="E12" s="9">
        <f>Supuestos!$B$13</f>
        <v/>
      </c>
      <c r="F12" s="8">
        <f>D12*E12</f>
        <v/>
      </c>
    </row>
    <row r="13">
      <c r="A13" s="6" t="inlineStr">
        <is>
          <t>Estructura techada</t>
        </is>
      </c>
      <c r="B13" s="6" t="inlineStr">
        <is>
          <t>Cobertura TR-4 0.40 mm prepintada + fascia y accesorios</t>
        </is>
      </c>
      <c r="C13" s="6" t="inlineStr">
        <is>
          <t>m²</t>
        </is>
      </c>
      <c r="D13" s="6" t="n">
        <v>438.6</v>
      </c>
      <c r="E13" s="7" t="n">
        <v>55</v>
      </c>
      <c r="F13" s="8">
        <f>D13*E13</f>
        <v/>
      </c>
    </row>
    <row r="14">
      <c r="A14" s="6" t="inlineStr">
        <is>
          <t>Estructura techada</t>
        </is>
      </c>
      <c r="B14" s="6" t="inlineStr">
        <is>
          <t>Canaleta galvanizada e=0.6 mm</t>
        </is>
      </c>
      <c r="C14" s="6" t="inlineStr">
        <is>
          <t>ml</t>
        </is>
      </c>
      <c r="D14" s="6" t="n">
        <v>72.59999999999999</v>
      </c>
      <c r="E14" s="7" t="n">
        <v>60</v>
      </c>
      <c r="F14" s="8">
        <f>D14*E14</f>
        <v/>
      </c>
    </row>
    <row r="15">
      <c r="A15" s="6" t="inlineStr">
        <is>
          <t>Estructura techada</t>
        </is>
      </c>
      <c r="B15" s="6" t="inlineStr">
        <is>
          <t>Bajadas pluviales PVC ø 4"</t>
        </is>
      </c>
      <c r="C15" s="6" t="inlineStr">
        <is>
          <t>und</t>
        </is>
      </c>
      <c r="D15" s="6" t="n">
        <v>13</v>
      </c>
      <c r="E15" s="7" t="n">
        <v>220</v>
      </c>
      <c r="F15" s="8">
        <f>D15*E15</f>
        <v/>
      </c>
    </row>
    <row r="16">
      <c r="A16" s="6" t="inlineStr">
        <is>
          <t>Drenaje</t>
        </is>
      </c>
      <c r="B16" s="6" t="inlineStr">
        <is>
          <t>Canaleta de piso con rejilla metálica y descarga a vía</t>
        </is>
      </c>
      <c r="C16" s="6" t="inlineStr">
        <is>
          <t>ml</t>
        </is>
      </c>
      <c r="D16" s="6" t="n">
        <v>40</v>
      </c>
      <c r="E16" s="7" t="n">
        <v>220</v>
      </c>
      <c r="F16" s="8">
        <f>D16*E16</f>
        <v/>
      </c>
    </row>
    <row r="17">
      <c r="A17" s="6" t="inlineStr">
        <is>
          <t>Instalaciones eléctricas</t>
        </is>
      </c>
      <c r="B17" s="6" t="inlineStr">
        <is>
          <t>Acometida, medidor y tablero general</t>
        </is>
      </c>
      <c r="C17" s="6" t="inlineStr">
        <is>
          <t>glb</t>
        </is>
      </c>
      <c r="D17" s="6" t="n">
        <v>1</v>
      </c>
      <c r="E17" s="7" t="n">
        <v>3800</v>
      </c>
      <c r="F17" s="8">
        <f>D17*E17</f>
        <v/>
      </c>
    </row>
    <row r="18">
      <c r="A18" s="6" t="inlineStr">
        <is>
          <t>Instalaciones eléctricas</t>
        </is>
      </c>
      <c r="B18" s="6" t="inlineStr">
        <is>
          <t>Luminaria LED hermética 40 W bajo techo</t>
        </is>
      </c>
      <c r="C18" s="6" t="inlineStr">
        <is>
          <t>und</t>
        </is>
      </c>
      <c r="D18" s="6" t="n">
        <v>14</v>
      </c>
      <c r="E18" s="7" t="n">
        <v>260</v>
      </c>
      <c r="F18" s="8">
        <f>D18*E18</f>
        <v/>
      </c>
    </row>
    <row r="19">
      <c r="A19" s="6" t="inlineStr">
        <is>
          <t>Instalaciones eléctricas</t>
        </is>
      </c>
      <c r="B19" s="6" t="inlineStr">
        <is>
          <t>Poste metálico 6 m con reflector LED 100 W</t>
        </is>
      </c>
      <c r="C19" s="6" t="inlineStr">
        <is>
          <t>und</t>
        </is>
      </c>
      <c r="D19" s="6" t="n">
        <v>3</v>
      </c>
      <c r="E19" s="7" t="n">
        <v>1800</v>
      </c>
      <c r="F19" s="8">
        <f>D19*E19</f>
        <v/>
      </c>
    </row>
    <row r="20">
      <c r="A20" s="6" t="inlineStr">
        <is>
          <t>Instalaciones eléctricas</t>
        </is>
      </c>
      <c r="B20" s="6" t="inlineStr">
        <is>
          <t>Cableado, tuberías y tomacorrientes</t>
        </is>
      </c>
      <c r="C20" s="6" t="inlineStr">
        <is>
          <t>glb</t>
        </is>
      </c>
      <c r="D20" s="6" t="n">
        <v>1</v>
      </c>
      <c r="E20" s="7" t="n">
        <v>3000</v>
      </c>
      <c r="F20" s="8">
        <f>D20*E20</f>
        <v/>
      </c>
    </row>
    <row r="21">
      <c r="A21" s="6" t="inlineStr">
        <is>
          <t>Instalaciones eléctricas</t>
        </is>
      </c>
      <c r="B21" s="6" t="inlineStr">
        <is>
          <t>Sistema CCTV (6 cámaras + grabador)</t>
        </is>
      </c>
      <c r="C21" s="6" t="inlineStr">
        <is>
          <t>glb</t>
        </is>
      </c>
      <c r="D21" s="6" t="n">
        <v>1</v>
      </c>
      <c r="E21" s="7" t="n">
        <v>4200</v>
      </c>
      <c r="F21" s="8">
        <f>D21*E21</f>
        <v/>
      </c>
    </row>
    <row r="22">
      <c r="A22" s="6" t="inlineStr">
        <is>
          <t>Servicios</t>
        </is>
      </c>
      <c r="B22" s="6" t="inlineStr">
        <is>
          <t>Garita, SS.HH. accesible y depósito (albañilería)</t>
        </is>
      </c>
      <c r="C22" s="6" t="inlineStr">
        <is>
          <t>m²</t>
        </is>
      </c>
      <c r="D22" s="6" t="n">
        <v>10.4</v>
      </c>
      <c r="E22" s="7" t="n">
        <v>1500</v>
      </c>
      <c r="F22" s="8">
        <f>D22*E22</f>
        <v/>
      </c>
    </row>
    <row r="23">
      <c r="A23" s="6" t="inlineStr">
        <is>
          <t>Servicios</t>
        </is>
      </c>
      <c r="B23" s="6" t="inlineStr">
        <is>
          <t>Instalaciones sanitarias (agua, desagüe y conexiones)</t>
        </is>
      </c>
      <c r="C23" s="6" t="inlineStr">
        <is>
          <t>glb</t>
        </is>
      </c>
      <c r="D23" s="6" t="n">
        <v>1</v>
      </c>
      <c r="E23" s="7" t="n">
        <v>3800</v>
      </c>
      <c r="F23" s="8">
        <f>D23*E23</f>
        <v/>
      </c>
    </row>
    <row r="24">
      <c r="A24" s="6" t="inlineStr">
        <is>
          <t>Señalización y seguridad</t>
        </is>
      </c>
      <c r="B24" s="6" t="inlineStr">
        <is>
          <t>Pintura de tráfico: líneas, numeración y flechas</t>
        </is>
      </c>
      <c r="C24" s="6" t="inlineStr">
        <is>
          <t>glb</t>
        </is>
      </c>
      <c r="D24" s="6" t="n">
        <v>1</v>
      </c>
      <c r="E24" s="7" t="n">
        <v>2800</v>
      </c>
      <c r="F24" s="8">
        <f>D24*E24</f>
        <v/>
      </c>
    </row>
    <row r="25">
      <c r="A25" s="6" t="inlineStr">
        <is>
          <t>Señalización y seguridad</t>
        </is>
      </c>
      <c r="B25" s="6" t="inlineStr">
        <is>
          <t>Topellantas de concreto prefabricado</t>
        </is>
      </c>
      <c r="C25" s="6" t="inlineStr">
        <is>
          <t>und</t>
        </is>
      </c>
      <c r="D25" s="6" t="n">
        <v>28</v>
      </c>
      <c r="E25" s="7" t="n">
        <v>75</v>
      </c>
      <c r="F25" s="8">
        <f>D25*E25</f>
        <v/>
      </c>
    </row>
    <row r="26">
      <c r="A26" s="6" t="inlineStr">
        <is>
          <t>Señalización y seguridad</t>
        </is>
      </c>
      <c r="B26" s="6" t="inlineStr">
        <is>
          <t>Señales verticales, espejo convexo y bolardos</t>
        </is>
      </c>
      <c r="C26" s="6" t="inlineStr">
        <is>
          <t>glb</t>
        </is>
      </c>
      <c r="D26" s="6" t="n">
        <v>1</v>
      </c>
      <c r="E26" s="7" t="n">
        <v>2050</v>
      </c>
      <c r="F26" s="8">
        <f>D26*E26</f>
        <v/>
      </c>
    </row>
    <row r="27">
      <c r="A27" s="6" t="inlineStr">
        <is>
          <t>Señalización y seguridad</t>
        </is>
      </c>
      <c r="B27" s="6" t="inlineStr">
        <is>
          <t>Extintores PQS 6 kg y señalética de evacuación</t>
        </is>
      </c>
      <c r="C27" s="6" t="inlineStr">
        <is>
          <t>glb</t>
        </is>
      </c>
      <c r="D27" s="6" t="n">
        <v>1</v>
      </c>
      <c r="E27" s="7" t="n">
        <v>870</v>
      </c>
      <c r="F27" s="8">
        <f>D27*E27</f>
        <v/>
      </c>
    </row>
    <row r="28">
      <c r="A28" s="6" t="inlineStr">
        <is>
          <t>Estudios y licencias</t>
        </is>
      </c>
      <c r="B28" s="6" t="inlineStr">
        <is>
          <t>Topografía, EMS, expediente técnico firmado y licencias (edificación, funcionamiento, ITSE)</t>
        </is>
      </c>
      <c r="C28" s="6" t="inlineStr">
        <is>
          <t>glb</t>
        </is>
      </c>
      <c r="D28" s="6" t="n">
        <v>1</v>
      </c>
      <c r="E28" s="7" t="n">
        <v>13000</v>
      </c>
      <c r="F28" s="8">
        <f>D28*E28</f>
        <v/>
      </c>
    </row>
    <row r="29">
      <c r="E29" s="10" t="inlineStr">
        <is>
          <t>Subtotal</t>
        </is>
      </c>
      <c r="F29" s="11">
        <f>SUM(F4:F28)</f>
        <v/>
      </c>
    </row>
    <row r="30">
      <c r="E30" t="inlineStr">
        <is>
          <t>Gastos generales</t>
        </is>
      </c>
      <c r="F30" s="11">
        <f>F29*Supuestos!$B$14</f>
        <v/>
      </c>
    </row>
    <row r="31">
      <c r="E31" t="inlineStr">
        <is>
          <t>Imprevistos</t>
        </is>
      </c>
      <c r="F31" s="11">
        <f>(F29+F30)*Supuestos!$B$15</f>
        <v/>
      </c>
    </row>
    <row r="32">
      <c r="E32" s="10" t="inlineStr">
        <is>
          <t>TOTAL INVERSIÓN</t>
        </is>
      </c>
      <c r="F32" s="12">
        <f>F29+F30+F31</f>
        <v/>
      </c>
    </row>
    <row r="33">
      <c r="E33" t="inlineStr">
        <is>
          <t>Por plaza techada</t>
        </is>
      </c>
      <c r="F33" s="11">
        <f>Inversion!$F$32/Supuestos!$B$4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ESCENARIOS DE DEMANDA Y RESULTADOS (año de operación estable)</t>
        </is>
      </c>
    </row>
    <row r="3">
      <c r="B3" s="13" t="inlineStr">
        <is>
          <t>Pesimista</t>
        </is>
      </c>
      <c r="C3" s="13" t="inlineStr">
        <is>
          <t>Base</t>
        </is>
      </c>
      <c r="D3" s="13" t="inlineStr">
        <is>
          <t>Optimista</t>
        </is>
      </c>
    </row>
    <row r="4">
      <c r="A4" t="inlineStr">
        <is>
          <t>Autos abonados mensuales (nocturno)</t>
        </is>
      </c>
      <c r="B4" s="3" t="n">
        <v>12</v>
      </c>
      <c r="C4" s="3" t="n">
        <v>18</v>
      </c>
      <c r="D4" s="3" t="n">
        <v>24</v>
      </c>
    </row>
    <row r="5">
      <c r="A5" t="inlineStr">
        <is>
          <t>Tarifa mensual por auto (S/)</t>
        </is>
      </c>
      <c r="B5" s="7" t="n">
        <v>100</v>
      </c>
      <c r="C5" s="7" t="n">
        <v>120</v>
      </c>
      <c r="D5" s="7" t="n">
        <v>140</v>
      </c>
    </row>
    <row r="6">
      <c r="A6" t="inlineStr">
        <is>
          <t>Autos de rotación por día</t>
        </is>
      </c>
      <c r="B6" s="3" t="n">
        <v>8</v>
      </c>
      <c r="C6" s="3" t="n">
        <v>12</v>
      </c>
      <c r="D6" s="3" t="n">
        <v>18</v>
      </c>
    </row>
    <row r="7">
      <c r="A7" t="inlineStr">
        <is>
          <t>Ticket promedio de rotación (S/)</t>
        </is>
      </c>
      <c r="B7" s="7" t="n">
        <v>4</v>
      </c>
      <c r="C7" s="7" t="n">
        <v>4.5</v>
      </c>
      <c r="D7" s="7" t="n">
        <v>5</v>
      </c>
    </row>
    <row r="8">
      <c r="A8" t="inlineStr">
        <is>
          <t>Motos / mototaxis abonados</t>
        </is>
      </c>
      <c r="B8" s="3" t="n">
        <v>4</v>
      </c>
      <c r="C8" s="3" t="n">
        <v>6</v>
      </c>
      <c r="D8" s="3" t="n">
        <v>7</v>
      </c>
    </row>
    <row r="9">
      <c r="A9" t="inlineStr">
        <is>
          <t>Tarifa mensual moto (S/)</t>
        </is>
      </c>
      <c r="B9" s="7" t="n">
        <v>35</v>
      </c>
      <c r="C9" s="7" t="n">
        <v>40</v>
      </c>
      <c r="D9" s="7" t="n">
        <v>45</v>
      </c>
    </row>
    <row r="11">
      <c r="A11" s="10" t="inlineStr">
        <is>
          <t>Ingreso mensual</t>
        </is>
      </c>
      <c r="B11" s="11">
        <f>B4*B5+B6*B7*30+B8*B9</f>
        <v/>
      </c>
      <c r="C11" s="11">
        <f>C4*C5+C6*C7*30+C8*C9</f>
        <v/>
      </c>
      <c r="D11" s="11">
        <f>D4*D5+D6*D7*30+D8*D9</f>
        <v/>
      </c>
    </row>
    <row r="12">
      <c r="A12" t="inlineStr">
        <is>
          <t>Ingreso anual</t>
        </is>
      </c>
      <c r="B12" s="11">
        <f>B11*12</f>
        <v/>
      </c>
      <c r="C12" s="11">
        <f>C11*12</f>
        <v/>
      </c>
      <c r="D12" s="11">
        <f>D11*12</f>
        <v/>
      </c>
    </row>
    <row r="14">
      <c r="A14" s="10" t="inlineStr">
        <is>
          <t>Costos de operación anuales</t>
        </is>
      </c>
    </row>
    <row r="15">
      <c r="A15" t="inlineStr">
        <is>
          <t xml:space="preserve">   Personal (1 guardián-cobrador)</t>
        </is>
      </c>
      <c r="B15" s="11">
        <f>Supuestos!$B$17*Supuestos!$B$18*Supuestos!$B$19*12</f>
        <v/>
      </c>
      <c r="C15" s="11">
        <f>Supuestos!$B$17*Supuestos!$B$18*Supuestos!$B$19*12</f>
        <v/>
      </c>
      <c r="D15" s="11">
        <f>Supuestos!$B$17*Supuestos!$B$18*Supuestos!$B$19*12</f>
        <v/>
      </c>
    </row>
    <row r="16">
      <c r="A16" t="inlineStr">
        <is>
          <t xml:space="preserve">   Energía eléctrica</t>
        </is>
      </c>
      <c r="B16" s="11">
        <f>Supuestos!$B$20*30*Supuestos!$B$21*12</f>
        <v/>
      </c>
      <c r="C16" s="11">
        <f>Supuestos!$B$20*30*Supuestos!$B$21*12</f>
        <v/>
      </c>
      <c r="D16" s="11">
        <f>Supuestos!$B$20*30*Supuestos!$B$21*12</f>
        <v/>
      </c>
    </row>
    <row r="17">
      <c r="A17" t="inlineStr">
        <is>
          <t xml:space="preserve">   Agua y desagüe</t>
        </is>
      </c>
      <c r="B17" s="11">
        <f>Supuestos!$B$22*12</f>
        <v/>
      </c>
      <c r="C17" s="11">
        <f>Supuestos!$B$22*12</f>
        <v/>
      </c>
      <c r="D17" s="11">
        <f>Supuestos!$B$22*12</f>
        <v/>
      </c>
    </row>
    <row r="18">
      <c r="A18" t="inlineStr">
        <is>
          <t xml:space="preserve">   Mantenimiento</t>
        </is>
      </c>
      <c r="B18" s="11">
        <f>Supuestos!$B$23*Inversion!$F$32</f>
        <v/>
      </c>
      <c r="C18" s="11">
        <f>Supuestos!$B$23*Inversion!$F$32</f>
        <v/>
      </c>
      <c r="D18" s="11">
        <f>Supuestos!$B$23*Inversion!$F$32</f>
        <v/>
      </c>
    </row>
    <row r="19">
      <c r="A19" t="inlineStr">
        <is>
          <t xml:space="preserve">   Predial y arbitrios</t>
        </is>
      </c>
      <c r="B19" s="11">
        <f>Supuestos!$B$24</f>
        <v/>
      </c>
      <c r="C19" s="11">
        <f>Supuestos!$B$24</f>
        <v/>
      </c>
      <c r="D19" s="11">
        <f>Supuestos!$B$24</f>
        <v/>
      </c>
    </row>
    <row r="20">
      <c r="A20" t="inlineStr">
        <is>
          <t xml:space="preserve">   Seguro</t>
        </is>
      </c>
      <c r="B20" s="11">
        <f>Supuestos!$B$25</f>
        <v/>
      </c>
      <c r="C20" s="11">
        <f>Supuestos!$B$25</f>
        <v/>
      </c>
      <c r="D20" s="11">
        <f>Supuestos!$B$25</f>
        <v/>
      </c>
    </row>
    <row r="21">
      <c r="A21" t="inlineStr">
        <is>
          <t xml:space="preserve">   Tributos (Nuevo RUS)</t>
        </is>
      </c>
      <c r="B21" s="11">
        <f>Supuestos!$B$26*12</f>
        <v/>
      </c>
      <c r="C21" s="11">
        <f>Supuestos!$B$26*12</f>
        <v/>
      </c>
      <c r="D21" s="11">
        <f>Supuestos!$B$26*12</f>
        <v/>
      </c>
    </row>
    <row r="22">
      <c r="A22" t="inlineStr">
        <is>
          <t xml:space="preserve">   Varios</t>
        </is>
      </c>
      <c r="B22" s="11">
        <f>Supuestos!$B$27*12</f>
        <v/>
      </c>
      <c r="C22" s="11">
        <f>Supuestos!$B$27*12</f>
        <v/>
      </c>
      <c r="D22" s="11">
        <f>Supuestos!$B$27*12</f>
        <v/>
      </c>
    </row>
    <row r="23">
      <c r="A23" s="10" t="inlineStr">
        <is>
          <t>Total OPEX anual</t>
        </is>
      </c>
      <c r="B23" s="11">
        <f>SUM(B15:B22)</f>
        <v/>
      </c>
      <c r="C23" s="11">
        <f>SUM(C15:C22)</f>
        <v/>
      </c>
      <c r="D23" s="11">
        <f>SUM(D15:D22)</f>
        <v/>
      </c>
    </row>
    <row r="25">
      <c r="A25" s="10" t="inlineStr">
        <is>
          <t>Utilidad operativa anual (EBITDA)</t>
        </is>
      </c>
      <c r="B25" s="12">
        <f>B12-B23</f>
        <v/>
      </c>
      <c r="C25" s="12">
        <f>C12-C23</f>
        <v/>
      </c>
      <c r="D25" s="12">
        <f>D12-D23</f>
        <v/>
      </c>
    </row>
    <row r="26">
      <c r="A26" t="inlineStr">
        <is>
          <t>Inversión total (CAPEX)</t>
        </is>
      </c>
      <c r="B26" s="11">
        <f>Inversion!$F$32</f>
        <v/>
      </c>
      <c r="C26" s="11">
        <f>Inversion!$F$32</f>
        <v/>
      </c>
      <c r="D26" s="11">
        <f>Inversion!$F$32</f>
        <v/>
      </c>
    </row>
    <row r="27">
      <c r="A27" t="inlineStr">
        <is>
          <t>Recuperación simple (años)</t>
        </is>
      </c>
      <c r="B27" s="14">
        <f>IF(B25&lt;=0,"No recupera",IF(B26/B25&gt;30,"Más de 30",B26/B25))</f>
        <v/>
      </c>
      <c r="C27" s="14">
        <f>IF(C25&lt;=0,"No recupera",IF(C26/C25&gt;30,"Más de 30",C26/C25))</f>
        <v/>
      </c>
      <c r="D27" s="14">
        <f>IF(D25&lt;=0,"No recupera",IF(D26/D25&gt;30,"Más de 30",D26/D25))</f>
        <v/>
      </c>
    </row>
    <row r="28">
      <c r="A28" t="inlineStr">
        <is>
          <t>VAN a 20 años (tasa en Supuestos)</t>
        </is>
      </c>
      <c r="B28" s="11">
        <f>Flujo!B8+NPV(Supuestos!$B$32,Flujo!C8:V8)</f>
        <v/>
      </c>
      <c r="C28" s="11">
        <f>Flujo!B15+NPV(Supuestos!$B$32,Flujo!C15:V15)</f>
        <v/>
      </c>
      <c r="D28" s="11">
        <f>Flujo!B22+NPV(Supuestos!$B$32,Flujo!C22:V22)</f>
        <v/>
      </c>
    </row>
    <row r="29">
      <c r="A29" t="inlineStr">
        <is>
          <t>TIR a 20 años</t>
        </is>
      </c>
      <c r="B29" s="15">
        <f>IFERROR(IRR(Flujo!B8:V8),"Negativa")</f>
        <v/>
      </c>
      <c r="C29" s="15">
        <f>IFERROR(IRR(Flujo!B15:V15),"Negativa")</f>
        <v/>
      </c>
      <c r="D29" s="15">
        <f>IFERROR(IRR(Flujo!B22:V22),"Negativa")</f>
        <v/>
      </c>
    </row>
    <row r="30">
      <c r="A30" t="inlineStr">
        <is>
          <t>Nota: VAN y TIR usan el flujo de la hoja 'Flujo' (rampa de ocupación, crecimiento y mantenimiento mayor).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FLUJO DE CAJA ANUAL (20 años) - S/</t>
        </is>
      </c>
    </row>
    <row r="3">
      <c r="A3" s="10" t="inlineStr">
        <is>
          <t>Año</t>
        </is>
      </c>
      <c r="B3" s="10" t="n">
        <v>0</v>
      </c>
      <c r="C3" s="10" t="n">
        <v>1</v>
      </c>
      <c r="D3" s="10" t="n">
        <v>2</v>
      </c>
      <c r="E3" s="10" t="n">
        <v>3</v>
      </c>
      <c r="F3" s="10" t="n">
        <v>4</v>
      </c>
      <c r="G3" s="10" t="n">
        <v>5</v>
      </c>
      <c r="H3" s="10" t="n">
        <v>6</v>
      </c>
      <c r="I3" s="10" t="n">
        <v>7</v>
      </c>
      <c r="J3" s="10" t="n">
        <v>8</v>
      </c>
      <c r="K3" s="10" t="n">
        <v>9</v>
      </c>
      <c r="L3" s="10" t="n">
        <v>10</v>
      </c>
      <c r="M3" s="10" t="n">
        <v>11</v>
      </c>
      <c r="N3" s="10" t="n">
        <v>12</v>
      </c>
      <c r="O3" s="10" t="n">
        <v>13</v>
      </c>
      <c r="P3" s="10" t="n">
        <v>14</v>
      </c>
      <c r="Q3" s="10" t="n">
        <v>15</v>
      </c>
      <c r="R3" s="10" t="n">
        <v>16</v>
      </c>
      <c r="S3" s="10" t="n">
        <v>17</v>
      </c>
      <c r="T3" s="10" t="n">
        <v>18</v>
      </c>
      <c r="U3" s="10" t="n">
        <v>19</v>
      </c>
      <c r="V3" s="10" t="n">
        <v>20</v>
      </c>
    </row>
    <row r="4">
      <c r="A4" s="16" t="inlineStr">
        <is>
          <t>Pesimista</t>
        </is>
      </c>
    </row>
    <row r="5">
      <c r="A5" t="inlineStr">
        <is>
          <t>Ingresos</t>
        </is>
      </c>
      <c r="B5" s="17" t="n">
        <v>0</v>
      </c>
      <c r="C5" s="17">
        <f>Escenarios!$B$12*Supuestos!$B$29*(1+Supuestos!$B$31)^(1-1)</f>
        <v/>
      </c>
      <c r="D5" s="17">
        <f>Escenarios!$B$12*Supuestos!$B$30*(1+Supuestos!$B$31)^(2-1)</f>
        <v/>
      </c>
      <c r="E5" s="17">
        <f>Escenarios!$B$12*1*(1+Supuestos!$B$31)^(3-1)</f>
        <v/>
      </c>
      <c r="F5" s="17">
        <f>Escenarios!$B$12*1*(1+Supuestos!$B$31)^(4-1)</f>
        <v/>
      </c>
      <c r="G5" s="17">
        <f>Escenarios!$B$12*1*(1+Supuestos!$B$31)^(5-1)</f>
        <v/>
      </c>
      <c r="H5" s="17">
        <f>Escenarios!$B$12*1*(1+Supuestos!$B$31)^(6-1)</f>
        <v/>
      </c>
      <c r="I5" s="17">
        <f>Escenarios!$B$12*1*(1+Supuestos!$B$31)^(7-1)</f>
        <v/>
      </c>
      <c r="J5" s="17">
        <f>Escenarios!$B$12*1*(1+Supuestos!$B$31)^(8-1)</f>
        <v/>
      </c>
      <c r="K5" s="17">
        <f>Escenarios!$B$12*1*(1+Supuestos!$B$31)^(9-1)</f>
        <v/>
      </c>
      <c r="L5" s="17">
        <f>Escenarios!$B$12*1*(1+Supuestos!$B$31)^(10-1)</f>
        <v/>
      </c>
      <c r="M5" s="17">
        <f>Escenarios!$B$12*1*(1+Supuestos!$B$31)^(11-1)</f>
        <v/>
      </c>
      <c r="N5" s="17">
        <f>Escenarios!$B$12*1*(1+Supuestos!$B$31)^(12-1)</f>
        <v/>
      </c>
      <c r="O5" s="17">
        <f>Escenarios!$B$12*1*(1+Supuestos!$B$31)^(13-1)</f>
        <v/>
      </c>
      <c r="P5" s="17">
        <f>Escenarios!$B$12*1*(1+Supuestos!$B$31)^(14-1)</f>
        <v/>
      </c>
      <c r="Q5" s="17">
        <f>Escenarios!$B$12*1*(1+Supuestos!$B$31)^(15-1)</f>
        <v/>
      </c>
      <c r="R5" s="17">
        <f>Escenarios!$B$12*1*(1+Supuestos!$B$31)^(16-1)</f>
        <v/>
      </c>
      <c r="S5" s="17">
        <f>Escenarios!$B$12*1*(1+Supuestos!$B$31)^(17-1)</f>
        <v/>
      </c>
      <c r="T5" s="17">
        <f>Escenarios!$B$12*1*(1+Supuestos!$B$31)^(18-1)</f>
        <v/>
      </c>
      <c r="U5" s="17">
        <f>Escenarios!$B$12*1*(1+Supuestos!$B$31)^(19-1)</f>
        <v/>
      </c>
      <c r="V5" s="17">
        <f>Escenarios!$B$12*1*(1+Supuestos!$B$31)^(20-1)</f>
        <v/>
      </c>
    </row>
    <row r="6">
      <c r="A6" t="inlineStr">
        <is>
          <t>OPEX</t>
        </is>
      </c>
      <c r="B6" s="17" t="n">
        <v>0</v>
      </c>
      <c r="C6" s="17">
        <f>Escenarios!$B$23*(1+Supuestos!$B$31)^(1-1)</f>
        <v/>
      </c>
      <c r="D6" s="17">
        <f>Escenarios!$B$23*(1+Supuestos!$B$31)^(2-1)</f>
        <v/>
      </c>
      <c r="E6" s="17">
        <f>Escenarios!$B$23*(1+Supuestos!$B$31)^(3-1)</f>
        <v/>
      </c>
      <c r="F6" s="17">
        <f>Escenarios!$B$23*(1+Supuestos!$B$31)^(4-1)</f>
        <v/>
      </c>
      <c r="G6" s="17">
        <f>Escenarios!$B$23*(1+Supuestos!$B$31)^(5-1)</f>
        <v/>
      </c>
      <c r="H6" s="17">
        <f>Escenarios!$B$23*(1+Supuestos!$B$31)^(6-1)</f>
        <v/>
      </c>
      <c r="I6" s="17">
        <f>Escenarios!$B$23*(1+Supuestos!$B$31)^(7-1)</f>
        <v/>
      </c>
      <c r="J6" s="17">
        <f>Escenarios!$B$23*(1+Supuestos!$B$31)^(8-1)</f>
        <v/>
      </c>
      <c r="K6" s="17">
        <f>Escenarios!$B$23*(1+Supuestos!$B$31)^(9-1)</f>
        <v/>
      </c>
      <c r="L6" s="17">
        <f>Escenarios!$B$23*(1+Supuestos!$B$31)^(10-1)</f>
        <v/>
      </c>
      <c r="M6" s="17">
        <f>Escenarios!$B$23*(1+Supuestos!$B$31)^(11-1)</f>
        <v/>
      </c>
      <c r="N6" s="17">
        <f>Escenarios!$B$23*(1+Supuestos!$B$31)^(12-1)</f>
        <v/>
      </c>
      <c r="O6" s="17">
        <f>Escenarios!$B$23*(1+Supuestos!$B$31)^(13-1)</f>
        <v/>
      </c>
      <c r="P6" s="17">
        <f>Escenarios!$B$23*(1+Supuestos!$B$31)^(14-1)</f>
        <v/>
      </c>
      <c r="Q6" s="17">
        <f>Escenarios!$B$23*(1+Supuestos!$B$31)^(15-1)</f>
        <v/>
      </c>
      <c r="R6" s="17">
        <f>Escenarios!$B$23*(1+Supuestos!$B$31)^(16-1)</f>
        <v/>
      </c>
      <c r="S6" s="17">
        <f>Escenarios!$B$23*(1+Supuestos!$B$31)^(17-1)</f>
        <v/>
      </c>
      <c r="T6" s="17">
        <f>Escenarios!$B$23*(1+Supuestos!$B$31)^(18-1)</f>
        <v/>
      </c>
      <c r="U6" s="17">
        <f>Escenarios!$B$23*(1+Supuestos!$B$31)^(19-1)</f>
        <v/>
      </c>
      <c r="V6" s="17">
        <f>Escenarios!$B$23*(1+Supuestos!$B$31)^(20-1)</f>
        <v/>
      </c>
    </row>
    <row r="7">
      <c r="A7" t="inlineStr">
        <is>
          <t>Mantenimiento mayor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>
        <f>Supuestos!$B$33*Inversion!$F$32</f>
        <v/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</row>
    <row r="8">
      <c r="A8" t="inlineStr">
        <is>
          <t>Flujo neto</t>
        </is>
      </c>
      <c r="B8" s="17">
        <f>-Inversion!$F$32</f>
        <v/>
      </c>
      <c r="C8" s="17">
        <f>C5-C6-C7</f>
        <v/>
      </c>
      <c r="D8" s="17">
        <f>D5-D6-D7</f>
        <v/>
      </c>
      <c r="E8" s="17">
        <f>E5-E6-E7</f>
        <v/>
      </c>
      <c r="F8" s="17">
        <f>F5-F6-F7</f>
        <v/>
      </c>
      <c r="G8" s="17">
        <f>G5-G6-G7</f>
        <v/>
      </c>
      <c r="H8" s="17">
        <f>H5-H6-H7</f>
        <v/>
      </c>
      <c r="I8" s="17">
        <f>I5-I6-I7</f>
        <v/>
      </c>
      <c r="J8" s="17">
        <f>J5-J6-J7</f>
        <v/>
      </c>
      <c r="K8" s="17">
        <f>K5-K6-K7</f>
        <v/>
      </c>
      <c r="L8" s="17">
        <f>L5-L6-L7</f>
        <v/>
      </c>
      <c r="M8" s="17">
        <f>M5-M6-M7</f>
        <v/>
      </c>
      <c r="N8" s="17">
        <f>N5-N6-N7</f>
        <v/>
      </c>
      <c r="O8" s="17">
        <f>O5-O6-O7</f>
        <v/>
      </c>
      <c r="P8" s="17">
        <f>P5-P6-P7</f>
        <v/>
      </c>
      <c r="Q8" s="17">
        <f>Q5-Q6-Q7</f>
        <v/>
      </c>
      <c r="R8" s="17">
        <f>R5-R6-R7</f>
        <v/>
      </c>
      <c r="S8" s="17">
        <f>S5-S6-S7</f>
        <v/>
      </c>
      <c r="T8" s="17">
        <f>T5-T6-T7</f>
        <v/>
      </c>
      <c r="U8" s="17">
        <f>U5-U6-U7</f>
        <v/>
      </c>
      <c r="V8" s="17">
        <f>V5-V6-V7</f>
        <v/>
      </c>
    </row>
    <row r="9">
      <c r="A9" t="inlineStr">
        <is>
          <t>Flujo acumulado</t>
        </is>
      </c>
      <c r="B9" s="17">
        <f>B8</f>
        <v/>
      </c>
      <c r="C9" s="17">
        <f>B9+C8</f>
        <v/>
      </c>
      <c r="D9" s="17">
        <f>C9+D8</f>
        <v/>
      </c>
      <c r="E9" s="17">
        <f>D9+E8</f>
        <v/>
      </c>
      <c r="F9" s="17">
        <f>E9+F8</f>
        <v/>
      </c>
      <c r="G9" s="17">
        <f>F9+G8</f>
        <v/>
      </c>
      <c r="H9" s="17">
        <f>G9+H8</f>
        <v/>
      </c>
      <c r="I9" s="17">
        <f>H9+I8</f>
        <v/>
      </c>
      <c r="J9" s="17">
        <f>I9+J8</f>
        <v/>
      </c>
      <c r="K9" s="17">
        <f>J9+K8</f>
        <v/>
      </c>
      <c r="L9" s="17">
        <f>K9+L8</f>
        <v/>
      </c>
      <c r="M9" s="17">
        <f>L9+M8</f>
        <v/>
      </c>
      <c r="N9" s="17">
        <f>M9+N8</f>
        <v/>
      </c>
      <c r="O9" s="17">
        <f>N9+O8</f>
        <v/>
      </c>
      <c r="P9" s="17">
        <f>O9+P8</f>
        <v/>
      </c>
      <c r="Q9" s="17">
        <f>P9+Q8</f>
        <v/>
      </c>
      <c r="R9" s="17">
        <f>Q9+R8</f>
        <v/>
      </c>
      <c r="S9" s="17">
        <f>R9+S8</f>
        <v/>
      </c>
      <c r="T9" s="17">
        <f>S9+T8</f>
        <v/>
      </c>
      <c r="U9" s="17">
        <f>T9+U8</f>
        <v/>
      </c>
      <c r="V9" s="17">
        <f>U9+V8</f>
        <v/>
      </c>
    </row>
    <row r="11">
      <c r="A11" s="16" t="inlineStr">
        <is>
          <t>Base</t>
        </is>
      </c>
    </row>
    <row r="12">
      <c r="A12" t="inlineStr">
        <is>
          <t>Ingresos</t>
        </is>
      </c>
      <c r="B12" s="17" t="n">
        <v>0</v>
      </c>
      <c r="C12" s="17">
        <f>Escenarios!$C$12*Supuestos!$B$29*(1+Supuestos!$B$31)^(1-1)</f>
        <v/>
      </c>
      <c r="D12" s="17">
        <f>Escenarios!$C$12*Supuestos!$B$30*(1+Supuestos!$B$31)^(2-1)</f>
        <v/>
      </c>
      <c r="E12" s="17">
        <f>Escenarios!$C$12*1*(1+Supuestos!$B$31)^(3-1)</f>
        <v/>
      </c>
      <c r="F12" s="17">
        <f>Escenarios!$C$12*1*(1+Supuestos!$B$31)^(4-1)</f>
        <v/>
      </c>
      <c r="G12" s="17">
        <f>Escenarios!$C$12*1*(1+Supuestos!$B$31)^(5-1)</f>
        <v/>
      </c>
      <c r="H12" s="17">
        <f>Escenarios!$C$12*1*(1+Supuestos!$B$31)^(6-1)</f>
        <v/>
      </c>
      <c r="I12" s="17">
        <f>Escenarios!$C$12*1*(1+Supuestos!$B$31)^(7-1)</f>
        <v/>
      </c>
      <c r="J12" s="17">
        <f>Escenarios!$C$12*1*(1+Supuestos!$B$31)^(8-1)</f>
        <v/>
      </c>
      <c r="K12" s="17">
        <f>Escenarios!$C$12*1*(1+Supuestos!$B$31)^(9-1)</f>
        <v/>
      </c>
      <c r="L12" s="17">
        <f>Escenarios!$C$12*1*(1+Supuestos!$B$31)^(10-1)</f>
        <v/>
      </c>
      <c r="M12" s="17">
        <f>Escenarios!$C$12*1*(1+Supuestos!$B$31)^(11-1)</f>
        <v/>
      </c>
      <c r="N12" s="17">
        <f>Escenarios!$C$12*1*(1+Supuestos!$B$31)^(12-1)</f>
        <v/>
      </c>
      <c r="O12" s="17">
        <f>Escenarios!$C$12*1*(1+Supuestos!$B$31)^(13-1)</f>
        <v/>
      </c>
      <c r="P12" s="17">
        <f>Escenarios!$C$12*1*(1+Supuestos!$B$31)^(14-1)</f>
        <v/>
      </c>
      <c r="Q12" s="17">
        <f>Escenarios!$C$12*1*(1+Supuestos!$B$31)^(15-1)</f>
        <v/>
      </c>
      <c r="R12" s="17">
        <f>Escenarios!$C$12*1*(1+Supuestos!$B$31)^(16-1)</f>
        <v/>
      </c>
      <c r="S12" s="17">
        <f>Escenarios!$C$12*1*(1+Supuestos!$B$31)^(17-1)</f>
        <v/>
      </c>
      <c r="T12" s="17">
        <f>Escenarios!$C$12*1*(1+Supuestos!$B$31)^(18-1)</f>
        <v/>
      </c>
      <c r="U12" s="17">
        <f>Escenarios!$C$12*1*(1+Supuestos!$B$31)^(19-1)</f>
        <v/>
      </c>
      <c r="V12" s="17">
        <f>Escenarios!$C$12*1*(1+Supuestos!$B$31)^(20-1)</f>
        <v/>
      </c>
    </row>
    <row r="13">
      <c r="A13" t="inlineStr">
        <is>
          <t>OPEX</t>
        </is>
      </c>
      <c r="B13" s="17" t="n">
        <v>0</v>
      </c>
      <c r="C13" s="17">
        <f>Escenarios!$C$23*(1+Supuestos!$B$31)^(1-1)</f>
        <v/>
      </c>
      <c r="D13" s="17">
        <f>Escenarios!$C$23*(1+Supuestos!$B$31)^(2-1)</f>
        <v/>
      </c>
      <c r="E13" s="17">
        <f>Escenarios!$C$23*(1+Supuestos!$B$31)^(3-1)</f>
        <v/>
      </c>
      <c r="F13" s="17">
        <f>Escenarios!$C$23*(1+Supuestos!$B$31)^(4-1)</f>
        <v/>
      </c>
      <c r="G13" s="17">
        <f>Escenarios!$C$23*(1+Supuestos!$B$31)^(5-1)</f>
        <v/>
      </c>
      <c r="H13" s="17">
        <f>Escenarios!$C$23*(1+Supuestos!$B$31)^(6-1)</f>
        <v/>
      </c>
      <c r="I13" s="17">
        <f>Escenarios!$C$23*(1+Supuestos!$B$31)^(7-1)</f>
        <v/>
      </c>
      <c r="J13" s="17">
        <f>Escenarios!$C$23*(1+Supuestos!$B$31)^(8-1)</f>
        <v/>
      </c>
      <c r="K13" s="17">
        <f>Escenarios!$C$23*(1+Supuestos!$B$31)^(9-1)</f>
        <v/>
      </c>
      <c r="L13" s="17">
        <f>Escenarios!$C$23*(1+Supuestos!$B$31)^(10-1)</f>
        <v/>
      </c>
      <c r="M13" s="17">
        <f>Escenarios!$C$23*(1+Supuestos!$B$31)^(11-1)</f>
        <v/>
      </c>
      <c r="N13" s="17">
        <f>Escenarios!$C$23*(1+Supuestos!$B$31)^(12-1)</f>
        <v/>
      </c>
      <c r="O13" s="17">
        <f>Escenarios!$C$23*(1+Supuestos!$B$31)^(13-1)</f>
        <v/>
      </c>
      <c r="P13" s="17">
        <f>Escenarios!$C$23*(1+Supuestos!$B$31)^(14-1)</f>
        <v/>
      </c>
      <c r="Q13" s="17">
        <f>Escenarios!$C$23*(1+Supuestos!$B$31)^(15-1)</f>
        <v/>
      </c>
      <c r="R13" s="17">
        <f>Escenarios!$C$23*(1+Supuestos!$B$31)^(16-1)</f>
        <v/>
      </c>
      <c r="S13" s="17">
        <f>Escenarios!$C$23*(1+Supuestos!$B$31)^(17-1)</f>
        <v/>
      </c>
      <c r="T13" s="17">
        <f>Escenarios!$C$23*(1+Supuestos!$B$31)^(18-1)</f>
        <v/>
      </c>
      <c r="U13" s="17">
        <f>Escenarios!$C$23*(1+Supuestos!$B$31)^(19-1)</f>
        <v/>
      </c>
      <c r="V13" s="17">
        <f>Escenarios!$C$23*(1+Supuestos!$B$31)^(20-1)</f>
        <v/>
      </c>
    </row>
    <row r="14">
      <c r="A14" t="inlineStr">
        <is>
          <t>Mantenimiento mayor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>
        <f>Supuestos!$B$33*Inversion!$F$32</f>
        <v/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</row>
    <row r="15">
      <c r="A15" t="inlineStr">
        <is>
          <t>Flujo neto</t>
        </is>
      </c>
      <c r="B15" s="17">
        <f>-Inversion!$F$32</f>
        <v/>
      </c>
      <c r="C15" s="17">
        <f>C12-C13-C14</f>
        <v/>
      </c>
      <c r="D15" s="17">
        <f>D12-D13-D14</f>
        <v/>
      </c>
      <c r="E15" s="17">
        <f>E12-E13-E14</f>
        <v/>
      </c>
      <c r="F15" s="17">
        <f>F12-F13-F14</f>
        <v/>
      </c>
      <c r="G15" s="17">
        <f>G12-G13-G14</f>
        <v/>
      </c>
      <c r="H15" s="17">
        <f>H12-H13-H14</f>
        <v/>
      </c>
      <c r="I15" s="17">
        <f>I12-I13-I14</f>
        <v/>
      </c>
      <c r="J15" s="17">
        <f>J12-J13-J14</f>
        <v/>
      </c>
      <c r="K15" s="17">
        <f>K12-K13-K14</f>
        <v/>
      </c>
      <c r="L15" s="17">
        <f>L12-L13-L14</f>
        <v/>
      </c>
      <c r="M15" s="17">
        <f>M12-M13-M14</f>
        <v/>
      </c>
      <c r="N15" s="17">
        <f>N12-N13-N14</f>
        <v/>
      </c>
      <c r="O15" s="17">
        <f>O12-O13-O14</f>
        <v/>
      </c>
      <c r="P15" s="17">
        <f>P12-P13-P14</f>
        <v/>
      </c>
      <c r="Q15" s="17">
        <f>Q12-Q13-Q14</f>
        <v/>
      </c>
      <c r="R15" s="17">
        <f>R12-R13-R14</f>
        <v/>
      </c>
      <c r="S15" s="17">
        <f>S12-S13-S14</f>
        <v/>
      </c>
      <c r="T15" s="17">
        <f>T12-T13-T14</f>
        <v/>
      </c>
      <c r="U15" s="17">
        <f>U12-U13-U14</f>
        <v/>
      </c>
      <c r="V15" s="17">
        <f>V12-V13-V14</f>
        <v/>
      </c>
    </row>
    <row r="16">
      <c r="A16" t="inlineStr">
        <is>
          <t>Flujo acumulado</t>
        </is>
      </c>
      <c r="B16" s="17">
        <f>B15</f>
        <v/>
      </c>
      <c r="C16" s="17">
        <f>B16+C15</f>
        <v/>
      </c>
      <c r="D16" s="17">
        <f>C16+D15</f>
        <v/>
      </c>
      <c r="E16" s="17">
        <f>D16+E15</f>
        <v/>
      </c>
      <c r="F16" s="17">
        <f>E16+F15</f>
        <v/>
      </c>
      <c r="G16" s="17">
        <f>F16+G15</f>
        <v/>
      </c>
      <c r="H16" s="17">
        <f>G16+H15</f>
        <v/>
      </c>
      <c r="I16" s="17">
        <f>H16+I15</f>
        <v/>
      </c>
      <c r="J16" s="17">
        <f>I16+J15</f>
        <v/>
      </c>
      <c r="K16" s="17">
        <f>J16+K15</f>
        <v/>
      </c>
      <c r="L16" s="17">
        <f>K16+L15</f>
        <v/>
      </c>
      <c r="M16" s="17">
        <f>L16+M15</f>
        <v/>
      </c>
      <c r="N16" s="17">
        <f>M16+N15</f>
        <v/>
      </c>
      <c r="O16" s="17">
        <f>N16+O15</f>
        <v/>
      </c>
      <c r="P16" s="17">
        <f>O16+P15</f>
        <v/>
      </c>
      <c r="Q16" s="17">
        <f>P16+Q15</f>
        <v/>
      </c>
      <c r="R16" s="17">
        <f>Q16+R15</f>
        <v/>
      </c>
      <c r="S16" s="17">
        <f>R16+S15</f>
        <v/>
      </c>
      <c r="T16" s="17">
        <f>S16+T15</f>
        <v/>
      </c>
      <c r="U16" s="17">
        <f>T16+U15</f>
        <v/>
      </c>
      <c r="V16" s="17">
        <f>U16+V15</f>
        <v/>
      </c>
    </row>
    <row r="18">
      <c r="A18" s="16" t="inlineStr">
        <is>
          <t>Optimista</t>
        </is>
      </c>
    </row>
    <row r="19">
      <c r="A19" t="inlineStr">
        <is>
          <t>Ingresos</t>
        </is>
      </c>
      <c r="B19" s="17" t="n">
        <v>0</v>
      </c>
      <c r="C19" s="17">
        <f>Escenarios!$D$12*Supuestos!$B$29*(1+Supuestos!$B$31)^(1-1)</f>
        <v/>
      </c>
      <c r="D19" s="17">
        <f>Escenarios!$D$12*Supuestos!$B$30*(1+Supuestos!$B$31)^(2-1)</f>
        <v/>
      </c>
      <c r="E19" s="17">
        <f>Escenarios!$D$12*1*(1+Supuestos!$B$31)^(3-1)</f>
        <v/>
      </c>
      <c r="F19" s="17">
        <f>Escenarios!$D$12*1*(1+Supuestos!$B$31)^(4-1)</f>
        <v/>
      </c>
      <c r="G19" s="17">
        <f>Escenarios!$D$12*1*(1+Supuestos!$B$31)^(5-1)</f>
        <v/>
      </c>
      <c r="H19" s="17">
        <f>Escenarios!$D$12*1*(1+Supuestos!$B$31)^(6-1)</f>
        <v/>
      </c>
      <c r="I19" s="17">
        <f>Escenarios!$D$12*1*(1+Supuestos!$B$31)^(7-1)</f>
        <v/>
      </c>
      <c r="J19" s="17">
        <f>Escenarios!$D$12*1*(1+Supuestos!$B$31)^(8-1)</f>
        <v/>
      </c>
      <c r="K19" s="17">
        <f>Escenarios!$D$12*1*(1+Supuestos!$B$31)^(9-1)</f>
        <v/>
      </c>
      <c r="L19" s="17">
        <f>Escenarios!$D$12*1*(1+Supuestos!$B$31)^(10-1)</f>
        <v/>
      </c>
      <c r="M19" s="17">
        <f>Escenarios!$D$12*1*(1+Supuestos!$B$31)^(11-1)</f>
        <v/>
      </c>
      <c r="N19" s="17">
        <f>Escenarios!$D$12*1*(1+Supuestos!$B$31)^(12-1)</f>
        <v/>
      </c>
      <c r="O19" s="17">
        <f>Escenarios!$D$12*1*(1+Supuestos!$B$31)^(13-1)</f>
        <v/>
      </c>
      <c r="P19" s="17">
        <f>Escenarios!$D$12*1*(1+Supuestos!$B$31)^(14-1)</f>
        <v/>
      </c>
      <c r="Q19" s="17">
        <f>Escenarios!$D$12*1*(1+Supuestos!$B$31)^(15-1)</f>
        <v/>
      </c>
      <c r="R19" s="17">
        <f>Escenarios!$D$12*1*(1+Supuestos!$B$31)^(16-1)</f>
        <v/>
      </c>
      <c r="S19" s="17">
        <f>Escenarios!$D$12*1*(1+Supuestos!$B$31)^(17-1)</f>
        <v/>
      </c>
      <c r="T19" s="17">
        <f>Escenarios!$D$12*1*(1+Supuestos!$B$31)^(18-1)</f>
        <v/>
      </c>
      <c r="U19" s="17">
        <f>Escenarios!$D$12*1*(1+Supuestos!$B$31)^(19-1)</f>
        <v/>
      </c>
      <c r="V19" s="17">
        <f>Escenarios!$D$12*1*(1+Supuestos!$B$31)^(20-1)</f>
        <v/>
      </c>
    </row>
    <row r="20">
      <c r="A20" t="inlineStr">
        <is>
          <t>OPEX</t>
        </is>
      </c>
      <c r="B20" s="17" t="n">
        <v>0</v>
      </c>
      <c r="C20" s="17">
        <f>Escenarios!$D$23*(1+Supuestos!$B$31)^(1-1)</f>
        <v/>
      </c>
      <c r="D20" s="17">
        <f>Escenarios!$D$23*(1+Supuestos!$B$31)^(2-1)</f>
        <v/>
      </c>
      <c r="E20" s="17">
        <f>Escenarios!$D$23*(1+Supuestos!$B$31)^(3-1)</f>
        <v/>
      </c>
      <c r="F20" s="17">
        <f>Escenarios!$D$23*(1+Supuestos!$B$31)^(4-1)</f>
        <v/>
      </c>
      <c r="G20" s="17">
        <f>Escenarios!$D$23*(1+Supuestos!$B$31)^(5-1)</f>
        <v/>
      </c>
      <c r="H20" s="17">
        <f>Escenarios!$D$23*(1+Supuestos!$B$31)^(6-1)</f>
        <v/>
      </c>
      <c r="I20" s="17">
        <f>Escenarios!$D$23*(1+Supuestos!$B$31)^(7-1)</f>
        <v/>
      </c>
      <c r="J20" s="17">
        <f>Escenarios!$D$23*(1+Supuestos!$B$31)^(8-1)</f>
        <v/>
      </c>
      <c r="K20" s="17">
        <f>Escenarios!$D$23*(1+Supuestos!$B$31)^(9-1)</f>
        <v/>
      </c>
      <c r="L20" s="17">
        <f>Escenarios!$D$23*(1+Supuestos!$B$31)^(10-1)</f>
        <v/>
      </c>
      <c r="M20" s="17">
        <f>Escenarios!$D$23*(1+Supuestos!$B$31)^(11-1)</f>
        <v/>
      </c>
      <c r="N20" s="17">
        <f>Escenarios!$D$23*(1+Supuestos!$B$31)^(12-1)</f>
        <v/>
      </c>
      <c r="O20" s="17">
        <f>Escenarios!$D$23*(1+Supuestos!$B$31)^(13-1)</f>
        <v/>
      </c>
      <c r="P20" s="17">
        <f>Escenarios!$D$23*(1+Supuestos!$B$31)^(14-1)</f>
        <v/>
      </c>
      <c r="Q20" s="17">
        <f>Escenarios!$D$23*(1+Supuestos!$B$31)^(15-1)</f>
        <v/>
      </c>
      <c r="R20" s="17">
        <f>Escenarios!$D$23*(1+Supuestos!$B$31)^(16-1)</f>
        <v/>
      </c>
      <c r="S20" s="17">
        <f>Escenarios!$D$23*(1+Supuestos!$B$31)^(17-1)</f>
        <v/>
      </c>
      <c r="T20" s="17">
        <f>Escenarios!$D$23*(1+Supuestos!$B$31)^(18-1)</f>
        <v/>
      </c>
      <c r="U20" s="17">
        <f>Escenarios!$D$23*(1+Supuestos!$B$31)^(19-1)</f>
        <v/>
      </c>
      <c r="V20" s="17">
        <f>Escenarios!$D$23*(1+Supuestos!$B$31)^(20-1)</f>
        <v/>
      </c>
    </row>
    <row r="21">
      <c r="A21" t="inlineStr">
        <is>
          <t>Mantenimiento mayor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>
        <f>Supuestos!$B$33*Inversion!$F$32</f>
        <v/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</row>
    <row r="22">
      <c r="A22" t="inlineStr">
        <is>
          <t>Flujo neto</t>
        </is>
      </c>
      <c r="B22" s="17">
        <f>-Inversion!$F$32</f>
        <v/>
      </c>
      <c r="C22" s="17">
        <f>C19-C20-C21</f>
        <v/>
      </c>
      <c r="D22" s="17">
        <f>D19-D20-D21</f>
        <v/>
      </c>
      <c r="E22" s="17">
        <f>E19-E20-E21</f>
        <v/>
      </c>
      <c r="F22" s="17">
        <f>F19-F20-F21</f>
        <v/>
      </c>
      <c r="G22" s="17">
        <f>G19-G20-G21</f>
        <v/>
      </c>
      <c r="H22" s="17">
        <f>H19-H20-H21</f>
        <v/>
      </c>
      <c r="I22" s="17">
        <f>I19-I20-I21</f>
        <v/>
      </c>
      <c r="J22" s="17">
        <f>J19-J20-J21</f>
        <v/>
      </c>
      <c r="K22" s="17">
        <f>K19-K20-K21</f>
        <v/>
      </c>
      <c r="L22" s="17">
        <f>L19-L20-L21</f>
        <v/>
      </c>
      <c r="M22" s="17">
        <f>M19-M20-M21</f>
        <v/>
      </c>
      <c r="N22" s="17">
        <f>N19-N20-N21</f>
        <v/>
      </c>
      <c r="O22" s="17">
        <f>O19-O20-O21</f>
        <v/>
      </c>
      <c r="P22" s="17">
        <f>P19-P20-P21</f>
        <v/>
      </c>
      <c r="Q22" s="17">
        <f>Q19-Q20-Q21</f>
        <v/>
      </c>
      <c r="R22" s="17">
        <f>R19-R20-R21</f>
        <v/>
      </c>
      <c r="S22" s="17">
        <f>S19-S20-S21</f>
        <v/>
      </c>
      <c r="T22" s="17">
        <f>T19-T20-T21</f>
        <v/>
      </c>
      <c r="U22" s="17">
        <f>U19-U20-U21</f>
        <v/>
      </c>
      <c r="V22" s="17">
        <f>V19-V20-V21</f>
        <v/>
      </c>
    </row>
    <row r="23">
      <c r="A23" t="inlineStr">
        <is>
          <t>Flujo acumulado</t>
        </is>
      </c>
      <c r="B23" s="17">
        <f>B22</f>
        <v/>
      </c>
      <c r="C23" s="17">
        <f>B23+C22</f>
        <v/>
      </c>
      <c r="D23" s="17">
        <f>C23+D22</f>
        <v/>
      </c>
      <c r="E23" s="17">
        <f>D23+E22</f>
        <v/>
      </c>
      <c r="F23" s="17">
        <f>E23+F22</f>
        <v/>
      </c>
      <c r="G23" s="17">
        <f>F23+G22</f>
        <v/>
      </c>
      <c r="H23" s="17">
        <f>G23+H22</f>
        <v/>
      </c>
      <c r="I23" s="17">
        <f>H23+I22</f>
        <v/>
      </c>
      <c r="J23" s="17">
        <f>I23+J22</f>
        <v/>
      </c>
      <c r="K23" s="17">
        <f>J23+K22</f>
        <v/>
      </c>
      <c r="L23" s="17">
        <f>K23+L22</f>
        <v/>
      </c>
      <c r="M23" s="17">
        <f>L23+M22</f>
        <v/>
      </c>
      <c r="N23" s="17">
        <f>M23+N22</f>
        <v/>
      </c>
      <c r="O23" s="17">
        <f>N23+O22</f>
        <v/>
      </c>
      <c r="P23" s="17">
        <f>O23+P22</f>
        <v/>
      </c>
      <c r="Q23" s="17">
        <f>P23+Q22</f>
        <v/>
      </c>
      <c r="R23" s="17">
        <f>Q23+R22</f>
        <v/>
      </c>
      <c r="S23" s="17">
        <f>R23+S22</f>
        <v/>
      </c>
      <c r="T23" s="17">
        <f>S23+T22</f>
        <v/>
      </c>
      <c r="U23" s="17">
        <f>T23+U22</f>
        <v/>
      </c>
      <c r="V23" s="17">
        <f>U23+V22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SENSIBILIDAD: utilidad operativa anual (S/) según autos abonados y tarifa mensual</t>
        </is>
      </c>
    </row>
    <row r="2">
      <c r="A2" t="inlineStr">
        <is>
          <t>Rotación, motos y OPEX del escenario Base. Años de recuperación simple en la segunda tabla.</t>
        </is>
      </c>
    </row>
    <row r="4">
      <c r="A4" s="10" t="inlineStr">
        <is>
          <t>Utilidad operativa anual</t>
        </is>
      </c>
    </row>
    <row r="5">
      <c r="A5" s="10" t="inlineStr">
        <is>
          <t>Abonados \ Tarifa</t>
        </is>
      </c>
      <c r="B5" s="18" t="n">
        <v>80</v>
      </c>
      <c r="C5" s="18" t="n">
        <v>100</v>
      </c>
      <c r="D5" s="18" t="n">
        <v>120</v>
      </c>
      <c r="E5" s="18" t="n">
        <v>140</v>
      </c>
      <c r="F5" s="18" t="n">
        <v>160</v>
      </c>
    </row>
    <row r="6">
      <c r="A6" s="16" t="n">
        <v>8</v>
      </c>
      <c r="B6" s="8">
        <f>($A6*B$5*12+(Escenarios!$C$6*Escenarios!$C$7*30+Escenarios!$C$8*Escenarios!$C$9)*12-Escenarios!$C$23)</f>
        <v/>
      </c>
      <c r="C6" s="8">
        <f>($A6*C$5*12+(Escenarios!$C$6*Escenarios!$C$7*30+Escenarios!$C$8*Escenarios!$C$9)*12-Escenarios!$C$23)</f>
        <v/>
      </c>
      <c r="D6" s="8">
        <f>($A6*D$5*12+(Escenarios!$C$6*Escenarios!$C$7*30+Escenarios!$C$8*Escenarios!$C$9)*12-Escenarios!$C$23)</f>
        <v/>
      </c>
      <c r="E6" s="8">
        <f>($A6*E$5*12+(Escenarios!$C$6*Escenarios!$C$7*30+Escenarios!$C$8*Escenarios!$C$9)*12-Escenarios!$C$23)</f>
        <v/>
      </c>
      <c r="F6" s="8">
        <f>($A6*F$5*12+(Escenarios!$C$6*Escenarios!$C$7*30+Escenarios!$C$8*Escenarios!$C$9)*12-Escenarios!$C$23)</f>
        <v/>
      </c>
    </row>
    <row r="7">
      <c r="A7" s="16" t="n">
        <v>12</v>
      </c>
      <c r="B7" s="8">
        <f>($A7*B$5*12+(Escenarios!$C$6*Escenarios!$C$7*30+Escenarios!$C$8*Escenarios!$C$9)*12-Escenarios!$C$23)</f>
        <v/>
      </c>
      <c r="C7" s="8">
        <f>($A7*C$5*12+(Escenarios!$C$6*Escenarios!$C$7*30+Escenarios!$C$8*Escenarios!$C$9)*12-Escenarios!$C$23)</f>
        <v/>
      </c>
      <c r="D7" s="8">
        <f>($A7*D$5*12+(Escenarios!$C$6*Escenarios!$C$7*30+Escenarios!$C$8*Escenarios!$C$9)*12-Escenarios!$C$23)</f>
        <v/>
      </c>
      <c r="E7" s="8">
        <f>($A7*E$5*12+(Escenarios!$C$6*Escenarios!$C$7*30+Escenarios!$C$8*Escenarios!$C$9)*12-Escenarios!$C$23)</f>
        <v/>
      </c>
      <c r="F7" s="8">
        <f>($A7*F$5*12+(Escenarios!$C$6*Escenarios!$C$7*30+Escenarios!$C$8*Escenarios!$C$9)*12-Escenarios!$C$23)</f>
        <v/>
      </c>
    </row>
    <row r="8">
      <c r="A8" s="16" t="n">
        <v>16</v>
      </c>
      <c r="B8" s="8">
        <f>($A8*B$5*12+(Escenarios!$C$6*Escenarios!$C$7*30+Escenarios!$C$8*Escenarios!$C$9)*12-Escenarios!$C$23)</f>
        <v/>
      </c>
      <c r="C8" s="8">
        <f>($A8*C$5*12+(Escenarios!$C$6*Escenarios!$C$7*30+Escenarios!$C$8*Escenarios!$C$9)*12-Escenarios!$C$23)</f>
        <v/>
      </c>
      <c r="D8" s="8">
        <f>($A8*D$5*12+(Escenarios!$C$6*Escenarios!$C$7*30+Escenarios!$C$8*Escenarios!$C$9)*12-Escenarios!$C$23)</f>
        <v/>
      </c>
      <c r="E8" s="8">
        <f>($A8*E$5*12+(Escenarios!$C$6*Escenarios!$C$7*30+Escenarios!$C$8*Escenarios!$C$9)*12-Escenarios!$C$23)</f>
        <v/>
      </c>
      <c r="F8" s="8">
        <f>($A8*F$5*12+(Escenarios!$C$6*Escenarios!$C$7*30+Escenarios!$C$8*Escenarios!$C$9)*12-Escenarios!$C$23)</f>
        <v/>
      </c>
    </row>
    <row r="9">
      <c r="A9" s="16" t="n">
        <v>20</v>
      </c>
      <c r="B9" s="8">
        <f>($A9*B$5*12+(Escenarios!$C$6*Escenarios!$C$7*30+Escenarios!$C$8*Escenarios!$C$9)*12-Escenarios!$C$23)</f>
        <v/>
      </c>
      <c r="C9" s="8">
        <f>($A9*C$5*12+(Escenarios!$C$6*Escenarios!$C$7*30+Escenarios!$C$8*Escenarios!$C$9)*12-Escenarios!$C$23)</f>
        <v/>
      </c>
      <c r="D9" s="8">
        <f>($A9*D$5*12+(Escenarios!$C$6*Escenarios!$C$7*30+Escenarios!$C$8*Escenarios!$C$9)*12-Escenarios!$C$23)</f>
        <v/>
      </c>
      <c r="E9" s="8">
        <f>($A9*E$5*12+(Escenarios!$C$6*Escenarios!$C$7*30+Escenarios!$C$8*Escenarios!$C$9)*12-Escenarios!$C$23)</f>
        <v/>
      </c>
      <c r="F9" s="8">
        <f>($A9*F$5*12+(Escenarios!$C$6*Escenarios!$C$7*30+Escenarios!$C$8*Escenarios!$C$9)*12-Escenarios!$C$23)</f>
        <v/>
      </c>
    </row>
    <row r="10">
      <c r="A10" s="16" t="n">
        <v>24</v>
      </c>
      <c r="B10" s="8">
        <f>($A10*B$5*12+(Escenarios!$C$6*Escenarios!$C$7*30+Escenarios!$C$8*Escenarios!$C$9)*12-Escenarios!$C$23)</f>
        <v/>
      </c>
      <c r="C10" s="8">
        <f>($A10*C$5*12+(Escenarios!$C$6*Escenarios!$C$7*30+Escenarios!$C$8*Escenarios!$C$9)*12-Escenarios!$C$23)</f>
        <v/>
      </c>
      <c r="D10" s="8">
        <f>($A10*D$5*12+(Escenarios!$C$6*Escenarios!$C$7*30+Escenarios!$C$8*Escenarios!$C$9)*12-Escenarios!$C$23)</f>
        <v/>
      </c>
      <c r="E10" s="8">
        <f>($A10*E$5*12+(Escenarios!$C$6*Escenarios!$C$7*30+Escenarios!$C$8*Escenarios!$C$9)*12-Escenarios!$C$23)</f>
        <v/>
      </c>
      <c r="F10" s="8">
        <f>($A10*F$5*12+(Escenarios!$C$6*Escenarios!$C$7*30+Escenarios!$C$8*Escenarios!$C$9)*12-Escenarios!$C$23)</f>
        <v/>
      </c>
    </row>
    <row r="11">
      <c r="A11" s="16" t="n">
        <v>28</v>
      </c>
      <c r="B11" s="8">
        <f>($A11*B$5*12+(Escenarios!$C$6*Escenarios!$C$7*30+Escenarios!$C$8*Escenarios!$C$9)*12-Escenarios!$C$23)</f>
        <v/>
      </c>
      <c r="C11" s="8">
        <f>($A11*C$5*12+(Escenarios!$C$6*Escenarios!$C$7*30+Escenarios!$C$8*Escenarios!$C$9)*12-Escenarios!$C$23)</f>
        <v/>
      </c>
      <c r="D11" s="8">
        <f>($A11*D$5*12+(Escenarios!$C$6*Escenarios!$C$7*30+Escenarios!$C$8*Escenarios!$C$9)*12-Escenarios!$C$23)</f>
        <v/>
      </c>
      <c r="E11" s="8">
        <f>($A11*E$5*12+(Escenarios!$C$6*Escenarios!$C$7*30+Escenarios!$C$8*Escenarios!$C$9)*12-Escenarios!$C$23)</f>
        <v/>
      </c>
      <c r="F11" s="8">
        <f>($A11*F$5*12+(Escenarios!$C$6*Escenarios!$C$7*30+Escenarios!$C$8*Escenarios!$C$9)*12-Escenarios!$C$23)</f>
        <v/>
      </c>
    </row>
    <row r="14">
      <c r="A14" s="10" t="inlineStr">
        <is>
          <t>Años de recuperación</t>
        </is>
      </c>
    </row>
    <row r="15">
      <c r="A15" s="10" t="inlineStr">
        <is>
          <t>Abonados \ Tarifa</t>
        </is>
      </c>
      <c r="B15" s="18" t="n">
        <v>80</v>
      </c>
      <c r="C15" s="18" t="n">
        <v>100</v>
      </c>
      <c r="D15" s="18" t="n">
        <v>120</v>
      </c>
      <c r="E15" s="18" t="n">
        <v>140</v>
      </c>
      <c r="F15" s="18" t="n">
        <v>160</v>
      </c>
    </row>
    <row r="16">
      <c r="A16" s="16" t="n">
        <v>8</v>
      </c>
      <c r="B16" s="19">
        <f>IF(($A16*B$15*12+(Escenarios!$C$6*Escenarios!$C$7*30+Escenarios!$C$8*Escenarios!$C$9)*12-Escenarios!$C$23)&lt;=0,"No recupera",IF(Inversion!$F$32/($A16*B$15*12+(Escenarios!$C$6*Escenarios!$C$7*30+Escenarios!$C$8*Escenarios!$C$9)*12-Escenarios!$C$23)&gt;30,"Más de 30",Inversion!$F$32/($A16*B$15*12+(Escenarios!$C$6*Escenarios!$C$7*30+Escenarios!$C$8*Escenarios!$C$9)*12-Escenarios!$C$23)))</f>
        <v/>
      </c>
      <c r="C16" s="19">
        <f>IF(($A16*C$15*12+(Escenarios!$C$6*Escenarios!$C$7*30+Escenarios!$C$8*Escenarios!$C$9)*12-Escenarios!$C$23)&lt;=0,"No recupera",IF(Inversion!$F$32/($A16*C$15*12+(Escenarios!$C$6*Escenarios!$C$7*30+Escenarios!$C$8*Escenarios!$C$9)*12-Escenarios!$C$23)&gt;30,"Más de 30",Inversion!$F$32/($A16*C$15*12+(Escenarios!$C$6*Escenarios!$C$7*30+Escenarios!$C$8*Escenarios!$C$9)*12-Escenarios!$C$23)))</f>
        <v/>
      </c>
      <c r="D16" s="19">
        <f>IF(($A16*D$15*12+(Escenarios!$C$6*Escenarios!$C$7*30+Escenarios!$C$8*Escenarios!$C$9)*12-Escenarios!$C$23)&lt;=0,"No recupera",IF(Inversion!$F$32/($A16*D$15*12+(Escenarios!$C$6*Escenarios!$C$7*30+Escenarios!$C$8*Escenarios!$C$9)*12-Escenarios!$C$23)&gt;30,"Más de 30",Inversion!$F$32/($A16*D$15*12+(Escenarios!$C$6*Escenarios!$C$7*30+Escenarios!$C$8*Escenarios!$C$9)*12-Escenarios!$C$23)))</f>
        <v/>
      </c>
      <c r="E16" s="19">
        <f>IF(($A16*E$15*12+(Escenarios!$C$6*Escenarios!$C$7*30+Escenarios!$C$8*Escenarios!$C$9)*12-Escenarios!$C$23)&lt;=0,"No recupera",IF(Inversion!$F$32/($A16*E$15*12+(Escenarios!$C$6*Escenarios!$C$7*30+Escenarios!$C$8*Escenarios!$C$9)*12-Escenarios!$C$23)&gt;30,"Más de 30",Inversion!$F$32/($A16*E$15*12+(Escenarios!$C$6*Escenarios!$C$7*30+Escenarios!$C$8*Escenarios!$C$9)*12-Escenarios!$C$23)))</f>
        <v/>
      </c>
      <c r="F16" s="19">
        <f>IF(($A16*F$15*12+(Escenarios!$C$6*Escenarios!$C$7*30+Escenarios!$C$8*Escenarios!$C$9)*12-Escenarios!$C$23)&lt;=0,"No recupera",IF(Inversion!$F$32/($A16*F$15*12+(Escenarios!$C$6*Escenarios!$C$7*30+Escenarios!$C$8*Escenarios!$C$9)*12-Escenarios!$C$23)&gt;30,"Más de 30",Inversion!$F$32/($A16*F$15*12+(Escenarios!$C$6*Escenarios!$C$7*30+Escenarios!$C$8*Escenarios!$C$9)*12-Escenarios!$C$23)))</f>
        <v/>
      </c>
    </row>
    <row r="17">
      <c r="A17" s="16" t="n">
        <v>12</v>
      </c>
      <c r="B17" s="19">
        <f>IF(($A17*B$15*12+(Escenarios!$C$6*Escenarios!$C$7*30+Escenarios!$C$8*Escenarios!$C$9)*12-Escenarios!$C$23)&lt;=0,"No recupera",IF(Inversion!$F$32/($A17*B$15*12+(Escenarios!$C$6*Escenarios!$C$7*30+Escenarios!$C$8*Escenarios!$C$9)*12-Escenarios!$C$23)&gt;30,"Más de 30",Inversion!$F$32/($A17*B$15*12+(Escenarios!$C$6*Escenarios!$C$7*30+Escenarios!$C$8*Escenarios!$C$9)*12-Escenarios!$C$23)))</f>
        <v/>
      </c>
      <c r="C17" s="19">
        <f>IF(($A17*C$15*12+(Escenarios!$C$6*Escenarios!$C$7*30+Escenarios!$C$8*Escenarios!$C$9)*12-Escenarios!$C$23)&lt;=0,"No recupera",IF(Inversion!$F$32/($A17*C$15*12+(Escenarios!$C$6*Escenarios!$C$7*30+Escenarios!$C$8*Escenarios!$C$9)*12-Escenarios!$C$23)&gt;30,"Más de 30",Inversion!$F$32/($A17*C$15*12+(Escenarios!$C$6*Escenarios!$C$7*30+Escenarios!$C$8*Escenarios!$C$9)*12-Escenarios!$C$23)))</f>
        <v/>
      </c>
      <c r="D17" s="19">
        <f>IF(($A17*D$15*12+(Escenarios!$C$6*Escenarios!$C$7*30+Escenarios!$C$8*Escenarios!$C$9)*12-Escenarios!$C$23)&lt;=0,"No recupera",IF(Inversion!$F$32/($A17*D$15*12+(Escenarios!$C$6*Escenarios!$C$7*30+Escenarios!$C$8*Escenarios!$C$9)*12-Escenarios!$C$23)&gt;30,"Más de 30",Inversion!$F$32/($A17*D$15*12+(Escenarios!$C$6*Escenarios!$C$7*30+Escenarios!$C$8*Escenarios!$C$9)*12-Escenarios!$C$23)))</f>
        <v/>
      </c>
      <c r="E17" s="19">
        <f>IF(($A17*E$15*12+(Escenarios!$C$6*Escenarios!$C$7*30+Escenarios!$C$8*Escenarios!$C$9)*12-Escenarios!$C$23)&lt;=0,"No recupera",IF(Inversion!$F$32/($A17*E$15*12+(Escenarios!$C$6*Escenarios!$C$7*30+Escenarios!$C$8*Escenarios!$C$9)*12-Escenarios!$C$23)&gt;30,"Más de 30",Inversion!$F$32/($A17*E$15*12+(Escenarios!$C$6*Escenarios!$C$7*30+Escenarios!$C$8*Escenarios!$C$9)*12-Escenarios!$C$23)))</f>
        <v/>
      </c>
      <c r="F17" s="19">
        <f>IF(($A17*F$15*12+(Escenarios!$C$6*Escenarios!$C$7*30+Escenarios!$C$8*Escenarios!$C$9)*12-Escenarios!$C$23)&lt;=0,"No recupera",IF(Inversion!$F$32/($A17*F$15*12+(Escenarios!$C$6*Escenarios!$C$7*30+Escenarios!$C$8*Escenarios!$C$9)*12-Escenarios!$C$23)&gt;30,"Más de 30",Inversion!$F$32/($A17*F$15*12+(Escenarios!$C$6*Escenarios!$C$7*30+Escenarios!$C$8*Escenarios!$C$9)*12-Escenarios!$C$23)))</f>
        <v/>
      </c>
    </row>
    <row r="18">
      <c r="A18" s="16" t="n">
        <v>16</v>
      </c>
      <c r="B18" s="19">
        <f>IF(($A18*B$15*12+(Escenarios!$C$6*Escenarios!$C$7*30+Escenarios!$C$8*Escenarios!$C$9)*12-Escenarios!$C$23)&lt;=0,"No recupera",IF(Inversion!$F$32/($A18*B$15*12+(Escenarios!$C$6*Escenarios!$C$7*30+Escenarios!$C$8*Escenarios!$C$9)*12-Escenarios!$C$23)&gt;30,"Más de 30",Inversion!$F$32/($A18*B$15*12+(Escenarios!$C$6*Escenarios!$C$7*30+Escenarios!$C$8*Escenarios!$C$9)*12-Escenarios!$C$23)))</f>
        <v/>
      </c>
      <c r="C18" s="19">
        <f>IF(($A18*C$15*12+(Escenarios!$C$6*Escenarios!$C$7*30+Escenarios!$C$8*Escenarios!$C$9)*12-Escenarios!$C$23)&lt;=0,"No recupera",IF(Inversion!$F$32/($A18*C$15*12+(Escenarios!$C$6*Escenarios!$C$7*30+Escenarios!$C$8*Escenarios!$C$9)*12-Escenarios!$C$23)&gt;30,"Más de 30",Inversion!$F$32/($A18*C$15*12+(Escenarios!$C$6*Escenarios!$C$7*30+Escenarios!$C$8*Escenarios!$C$9)*12-Escenarios!$C$23)))</f>
        <v/>
      </c>
      <c r="D18" s="19">
        <f>IF(($A18*D$15*12+(Escenarios!$C$6*Escenarios!$C$7*30+Escenarios!$C$8*Escenarios!$C$9)*12-Escenarios!$C$23)&lt;=0,"No recupera",IF(Inversion!$F$32/($A18*D$15*12+(Escenarios!$C$6*Escenarios!$C$7*30+Escenarios!$C$8*Escenarios!$C$9)*12-Escenarios!$C$23)&gt;30,"Más de 30",Inversion!$F$32/($A18*D$15*12+(Escenarios!$C$6*Escenarios!$C$7*30+Escenarios!$C$8*Escenarios!$C$9)*12-Escenarios!$C$23)))</f>
        <v/>
      </c>
      <c r="E18" s="19">
        <f>IF(($A18*E$15*12+(Escenarios!$C$6*Escenarios!$C$7*30+Escenarios!$C$8*Escenarios!$C$9)*12-Escenarios!$C$23)&lt;=0,"No recupera",IF(Inversion!$F$32/($A18*E$15*12+(Escenarios!$C$6*Escenarios!$C$7*30+Escenarios!$C$8*Escenarios!$C$9)*12-Escenarios!$C$23)&gt;30,"Más de 30",Inversion!$F$32/($A18*E$15*12+(Escenarios!$C$6*Escenarios!$C$7*30+Escenarios!$C$8*Escenarios!$C$9)*12-Escenarios!$C$23)))</f>
        <v/>
      </c>
      <c r="F18" s="19">
        <f>IF(($A18*F$15*12+(Escenarios!$C$6*Escenarios!$C$7*30+Escenarios!$C$8*Escenarios!$C$9)*12-Escenarios!$C$23)&lt;=0,"No recupera",IF(Inversion!$F$32/($A18*F$15*12+(Escenarios!$C$6*Escenarios!$C$7*30+Escenarios!$C$8*Escenarios!$C$9)*12-Escenarios!$C$23)&gt;30,"Más de 30",Inversion!$F$32/($A18*F$15*12+(Escenarios!$C$6*Escenarios!$C$7*30+Escenarios!$C$8*Escenarios!$C$9)*12-Escenarios!$C$23)))</f>
        <v/>
      </c>
    </row>
    <row r="19">
      <c r="A19" s="16" t="n">
        <v>20</v>
      </c>
      <c r="B19" s="19">
        <f>IF(($A19*B$15*12+(Escenarios!$C$6*Escenarios!$C$7*30+Escenarios!$C$8*Escenarios!$C$9)*12-Escenarios!$C$23)&lt;=0,"No recupera",IF(Inversion!$F$32/($A19*B$15*12+(Escenarios!$C$6*Escenarios!$C$7*30+Escenarios!$C$8*Escenarios!$C$9)*12-Escenarios!$C$23)&gt;30,"Más de 30",Inversion!$F$32/($A19*B$15*12+(Escenarios!$C$6*Escenarios!$C$7*30+Escenarios!$C$8*Escenarios!$C$9)*12-Escenarios!$C$23)))</f>
        <v/>
      </c>
      <c r="C19" s="19">
        <f>IF(($A19*C$15*12+(Escenarios!$C$6*Escenarios!$C$7*30+Escenarios!$C$8*Escenarios!$C$9)*12-Escenarios!$C$23)&lt;=0,"No recupera",IF(Inversion!$F$32/($A19*C$15*12+(Escenarios!$C$6*Escenarios!$C$7*30+Escenarios!$C$8*Escenarios!$C$9)*12-Escenarios!$C$23)&gt;30,"Más de 30",Inversion!$F$32/($A19*C$15*12+(Escenarios!$C$6*Escenarios!$C$7*30+Escenarios!$C$8*Escenarios!$C$9)*12-Escenarios!$C$23)))</f>
        <v/>
      </c>
      <c r="D19" s="19">
        <f>IF(($A19*D$15*12+(Escenarios!$C$6*Escenarios!$C$7*30+Escenarios!$C$8*Escenarios!$C$9)*12-Escenarios!$C$23)&lt;=0,"No recupera",IF(Inversion!$F$32/($A19*D$15*12+(Escenarios!$C$6*Escenarios!$C$7*30+Escenarios!$C$8*Escenarios!$C$9)*12-Escenarios!$C$23)&gt;30,"Más de 30",Inversion!$F$32/($A19*D$15*12+(Escenarios!$C$6*Escenarios!$C$7*30+Escenarios!$C$8*Escenarios!$C$9)*12-Escenarios!$C$23)))</f>
        <v/>
      </c>
      <c r="E19" s="19">
        <f>IF(($A19*E$15*12+(Escenarios!$C$6*Escenarios!$C$7*30+Escenarios!$C$8*Escenarios!$C$9)*12-Escenarios!$C$23)&lt;=0,"No recupera",IF(Inversion!$F$32/($A19*E$15*12+(Escenarios!$C$6*Escenarios!$C$7*30+Escenarios!$C$8*Escenarios!$C$9)*12-Escenarios!$C$23)&gt;30,"Más de 30",Inversion!$F$32/($A19*E$15*12+(Escenarios!$C$6*Escenarios!$C$7*30+Escenarios!$C$8*Escenarios!$C$9)*12-Escenarios!$C$23)))</f>
        <v/>
      </c>
      <c r="F19" s="19">
        <f>IF(($A19*F$15*12+(Escenarios!$C$6*Escenarios!$C$7*30+Escenarios!$C$8*Escenarios!$C$9)*12-Escenarios!$C$23)&lt;=0,"No recupera",IF(Inversion!$F$32/($A19*F$15*12+(Escenarios!$C$6*Escenarios!$C$7*30+Escenarios!$C$8*Escenarios!$C$9)*12-Escenarios!$C$23)&gt;30,"Más de 30",Inversion!$F$32/($A19*F$15*12+(Escenarios!$C$6*Escenarios!$C$7*30+Escenarios!$C$8*Escenarios!$C$9)*12-Escenarios!$C$23)))</f>
        <v/>
      </c>
    </row>
    <row r="20">
      <c r="A20" s="16" t="n">
        <v>24</v>
      </c>
      <c r="B20" s="19">
        <f>IF(($A20*B$15*12+(Escenarios!$C$6*Escenarios!$C$7*30+Escenarios!$C$8*Escenarios!$C$9)*12-Escenarios!$C$23)&lt;=0,"No recupera",IF(Inversion!$F$32/($A20*B$15*12+(Escenarios!$C$6*Escenarios!$C$7*30+Escenarios!$C$8*Escenarios!$C$9)*12-Escenarios!$C$23)&gt;30,"Más de 30",Inversion!$F$32/($A20*B$15*12+(Escenarios!$C$6*Escenarios!$C$7*30+Escenarios!$C$8*Escenarios!$C$9)*12-Escenarios!$C$23)))</f>
        <v/>
      </c>
      <c r="C20" s="19">
        <f>IF(($A20*C$15*12+(Escenarios!$C$6*Escenarios!$C$7*30+Escenarios!$C$8*Escenarios!$C$9)*12-Escenarios!$C$23)&lt;=0,"No recupera",IF(Inversion!$F$32/($A20*C$15*12+(Escenarios!$C$6*Escenarios!$C$7*30+Escenarios!$C$8*Escenarios!$C$9)*12-Escenarios!$C$23)&gt;30,"Más de 30",Inversion!$F$32/($A20*C$15*12+(Escenarios!$C$6*Escenarios!$C$7*30+Escenarios!$C$8*Escenarios!$C$9)*12-Escenarios!$C$23)))</f>
        <v/>
      </c>
      <c r="D20" s="19">
        <f>IF(($A20*D$15*12+(Escenarios!$C$6*Escenarios!$C$7*30+Escenarios!$C$8*Escenarios!$C$9)*12-Escenarios!$C$23)&lt;=0,"No recupera",IF(Inversion!$F$32/($A20*D$15*12+(Escenarios!$C$6*Escenarios!$C$7*30+Escenarios!$C$8*Escenarios!$C$9)*12-Escenarios!$C$23)&gt;30,"Más de 30",Inversion!$F$32/($A20*D$15*12+(Escenarios!$C$6*Escenarios!$C$7*30+Escenarios!$C$8*Escenarios!$C$9)*12-Escenarios!$C$23)))</f>
        <v/>
      </c>
      <c r="E20" s="19">
        <f>IF(($A20*E$15*12+(Escenarios!$C$6*Escenarios!$C$7*30+Escenarios!$C$8*Escenarios!$C$9)*12-Escenarios!$C$23)&lt;=0,"No recupera",IF(Inversion!$F$32/($A20*E$15*12+(Escenarios!$C$6*Escenarios!$C$7*30+Escenarios!$C$8*Escenarios!$C$9)*12-Escenarios!$C$23)&gt;30,"Más de 30",Inversion!$F$32/($A20*E$15*12+(Escenarios!$C$6*Escenarios!$C$7*30+Escenarios!$C$8*Escenarios!$C$9)*12-Escenarios!$C$23)))</f>
        <v/>
      </c>
      <c r="F20" s="19">
        <f>IF(($A20*F$15*12+(Escenarios!$C$6*Escenarios!$C$7*30+Escenarios!$C$8*Escenarios!$C$9)*12-Escenarios!$C$23)&lt;=0,"No recupera",IF(Inversion!$F$32/($A20*F$15*12+(Escenarios!$C$6*Escenarios!$C$7*30+Escenarios!$C$8*Escenarios!$C$9)*12-Escenarios!$C$23)&gt;30,"Más de 30",Inversion!$F$32/($A20*F$15*12+(Escenarios!$C$6*Escenarios!$C$7*30+Escenarios!$C$8*Escenarios!$C$9)*12-Escenarios!$C$23)))</f>
        <v/>
      </c>
    </row>
    <row r="21">
      <c r="A21" s="16" t="n">
        <v>28</v>
      </c>
      <c r="B21" s="19">
        <f>IF(($A21*B$15*12+(Escenarios!$C$6*Escenarios!$C$7*30+Escenarios!$C$8*Escenarios!$C$9)*12-Escenarios!$C$23)&lt;=0,"No recupera",IF(Inversion!$F$32/($A21*B$15*12+(Escenarios!$C$6*Escenarios!$C$7*30+Escenarios!$C$8*Escenarios!$C$9)*12-Escenarios!$C$23)&gt;30,"Más de 30",Inversion!$F$32/($A21*B$15*12+(Escenarios!$C$6*Escenarios!$C$7*30+Escenarios!$C$8*Escenarios!$C$9)*12-Escenarios!$C$23)))</f>
        <v/>
      </c>
      <c r="C21" s="19">
        <f>IF(($A21*C$15*12+(Escenarios!$C$6*Escenarios!$C$7*30+Escenarios!$C$8*Escenarios!$C$9)*12-Escenarios!$C$23)&lt;=0,"No recupera",IF(Inversion!$F$32/($A21*C$15*12+(Escenarios!$C$6*Escenarios!$C$7*30+Escenarios!$C$8*Escenarios!$C$9)*12-Escenarios!$C$23)&gt;30,"Más de 30",Inversion!$F$32/($A21*C$15*12+(Escenarios!$C$6*Escenarios!$C$7*30+Escenarios!$C$8*Escenarios!$C$9)*12-Escenarios!$C$23)))</f>
        <v/>
      </c>
      <c r="D21" s="19">
        <f>IF(($A21*D$15*12+(Escenarios!$C$6*Escenarios!$C$7*30+Escenarios!$C$8*Escenarios!$C$9)*12-Escenarios!$C$23)&lt;=0,"No recupera",IF(Inversion!$F$32/($A21*D$15*12+(Escenarios!$C$6*Escenarios!$C$7*30+Escenarios!$C$8*Escenarios!$C$9)*12-Escenarios!$C$23)&gt;30,"Más de 30",Inversion!$F$32/($A21*D$15*12+(Escenarios!$C$6*Escenarios!$C$7*30+Escenarios!$C$8*Escenarios!$C$9)*12-Escenarios!$C$23)))</f>
        <v/>
      </c>
      <c r="E21" s="19">
        <f>IF(($A21*E$15*12+(Escenarios!$C$6*Escenarios!$C$7*30+Escenarios!$C$8*Escenarios!$C$9)*12-Escenarios!$C$23)&lt;=0,"No recupera",IF(Inversion!$F$32/($A21*E$15*12+(Escenarios!$C$6*Escenarios!$C$7*30+Escenarios!$C$8*Escenarios!$C$9)*12-Escenarios!$C$23)&gt;30,"Más de 30",Inversion!$F$32/($A21*E$15*12+(Escenarios!$C$6*Escenarios!$C$7*30+Escenarios!$C$8*Escenarios!$C$9)*12-Escenarios!$C$23)))</f>
        <v/>
      </c>
      <c r="F21" s="19">
        <f>IF(($A21*F$15*12+(Escenarios!$C$6*Escenarios!$C$7*30+Escenarios!$C$8*Escenarios!$C$9)*12-Escenarios!$C$23)&lt;=0,"No recupera",IF(Inversion!$F$32/($A21*F$15*12+(Escenarios!$C$6*Escenarios!$C$7*30+Escenarios!$C$8*Escenarios!$C$9)*12-Escenarios!$C$23)&gt;30,"Más de 30",Inversion!$F$32/($A21*F$15*12+(Escenarios!$C$6*Escenarios!$C$7*30+Escenarios!$C$8*Escenarios!$C$9)*12-Escenarios!$C$23)))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2026-10-11T04:03:22Z</dcterms:created>
  <dcterms:modified xmlns:dcterms="http://purl.org/dc/terms/" xmlns:xsi="http://www.w3.org/2001/XMLSchema-instance" xsi:type="dcterms:W3CDTF">2026-10-11T04:03:22Z</dcterms:modified>
</cp:coreProperties>
</file>